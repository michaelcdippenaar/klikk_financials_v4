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rofit and Loss" sheetId="1" r:id="rId1"/>
  </sheets>
  <calcPr calcId="162913"/>
</workbook>
</file>

<file path=xl/sharedStrings.xml><?xml version="1.0" encoding="utf-8"?>
<sst xmlns="http://schemas.openxmlformats.org/spreadsheetml/2006/main" count="138" uniqueCount="138">
  <si>
    <t>Profit and Loss</t>
  </si>
  <si>
    <t>Klikk (Pty) Ltd</t>
  </si>
  <si>
    <t>For the month ended 28 February 2026</t>
  </si>
  <si>
    <t>Account</t>
  </si>
  <si>
    <t>Feb 2026</t>
  </si>
  <si>
    <t>Jan 2026</t>
  </si>
  <si>
    <t>Dec 2025</t>
  </si>
  <si>
    <t>Nov 2025</t>
  </si>
  <si>
    <t>Oct 2025</t>
  </si>
  <si>
    <t>Sep 2025</t>
  </si>
  <si>
    <t>Aug 2025</t>
  </si>
  <si>
    <t>Jul 2025</t>
  </si>
  <si>
    <t>Jun 2025</t>
  </si>
  <si>
    <t>May 2025</t>
  </si>
  <si>
    <t>Apr 2025</t>
  </si>
  <si>
    <t>Mar 2025</t>
  </si>
  <si>
    <t>Feb 2025</t>
  </si>
  <si>
    <t>Jan 2025</t>
  </si>
  <si>
    <t>Dec 2024</t>
  </si>
  <si>
    <t>Nov 2024</t>
  </si>
  <si>
    <t>Trading Income</t>
  </si>
  <si>
    <t>Audio Visual Equipment / Rentals</t>
  </si>
  <si>
    <t>Financial Investments / Listed Shares / Interest</t>
  </si>
  <si>
    <t>Financial Investments / Listed Shares / International Dividend</t>
  </si>
  <si>
    <t>Financial Investments / Listed Shares / Local Dividend</t>
  </si>
  <si>
    <t>Financial Investments / Listed Shares / Special Dividend</t>
  </si>
  <si>
    <t>Financial Investments / Unlisted Shares / Dividend</t>
  </si>
  <si>
    <t>Property - Resale of Internet</t>
  </si>
  <si>
    <t>Property/Rental Income - Agricultural</t>
  </si>
  <si>
    <t>Property/Rental Income - Long Term</t>
  </si>
  <si>
    <t>Total Trading Income</t>
  </si>
  <si>
    <t>Gross Profit</t>
  </si>
  <si>
    <t>Other Income</t>
  </si>
  <si>
    <t>Deferred Tax (I/S)</t>
  </si>
  <si>
    <t>Financial Investments /  Anchor / Interest</t>
  </si>
  <si>
    <t>Financial Investments / Listed Shares / Realised Profit on Sale</t>
  </si>
  <si>
    <t>Insurance Claims</t>
  </si>
  <si>
    <t>Interest income - Business Bank Account</t>
  </si>
  <si>
    <t>Interest Income - Deposit Paid on Property Purchase</t>
  </si>
  <si>
    <t>Property/Profit or Loss on Sale of Property</t>
  </si>
  <si>
    <t>Property/Rental Income - Recover Damage to Property</t>
  </si>
  <si>
    <t>Property/Rental Income - Recover Electricity Cost</t>
  </si>
  <si>
    <t>Repairs</t>
  </si>
  <si>
    <t>Total Other Income</t>
  </si>
  <si>
    <t>Operating Expenses</t>
  </si>
  <si>
    <t>Advertising and Marketing</t>
  </si>
  <si>
    <t>Assets &lt; R7000</t>
  </si>
  <si>
    <t>Bank Fees  - International</t>
  </si>
  <si>
    <t>Bank fees - Anchor fees</t>
  </si>
  <si>
    <t>Bank Fees - Electronic Debit Fee</t>
  </si>
  <si>
    <t>Bank Fees - Faster Payment Fee</t>
  </si>
  <si>
    <t>Bank Fees - General</t>
  </si>
  <si>
    <t>Bank Fees - JSE Fees</t>
  </si>
  <si>
    <t>Base cost: Anchor</t>
  </si>
  <si>
    <t>Casual wages</t>
  </si>
  <si>
    <t>CIPC</t>
  </si>
  <si>
    <t>Delivery Fee</t>
  </si>
  <si>
    <t>Depreciation</t>
  </si>
  <si>
    <t>Employee Expenses - Staff Meals</t>
  </si>
  <si>
    <t>Employee Expenses - Staff uniform</t>
  </si>
  <si>
    <t>Employee Expenses - Training</t>
  </si>
  <si>
    <t>Employee Expenses Joice - Cleaning / Casual Workers</t>
  </si>
  <si>
    <t>Employee Expenses Joice - Maintenance / Casual Workers</t>
  </si>
  <si>
    <t>Employee Expenses Joice - Salaries and Wages</t>
  </si>
  <si>
    <t>Employee Expenses Joice - SDL</t>
  </si>
  <si>
    <t>Employee Expenses Joice - UIF</t>
  </si>
  <si>
    <t>Employee Expenses MC - Salaries and Wages</t>
  </si>
  <si>
    <t>Employee Expenses MC - SDL</t>
  </si>
  <si>
    <t>Employee Expenses MC - UIF</t>
  </si>
  <si>
    <t>Employee Expenses Tanja - Salaries and Wages</t>
  </si>
  <si>
    <t>Employee Expenses Tanja - SDL</t>
  </si>
  <si>
    <t>Employee Expenses Tanja - UIF</t>
  </si>
  <si>
    <t>Entertainment</t>
  </si>
  <si>
    <t>Equipment Rental - Sub Hire</t>
  </si>
  <si>
    <t>Finance Cost / Flexibond</t>
  </si>
  <si>
    <t>Finance Cost / Investec Facility JSE</t>
  </si>
  <si>
    <t>Fuel Expense</t>
  </si>
  <si>
    <t>Hire of Equipment</t>
  </si>
  <si>
    <t>Impairments</t>
  </si>
  <si>
    <t>Income Tax Expense</t>
  </si>
  <si>
    <t>Insurance General</t>
  </si>
  <si>
    <t>Interest Expense - Business Bank Account</t>
  </si>
  <si>
    <t>Legal Fees</t>
  </si>
  <si>
    <t>Management Fee - Tremly</t>
  </si>
  <si>
    <t>Motor Vehicle Expenses</t>
  </si>
  <si>
    <t>MS Man Serv - Management Services Accounting</t>
  </si>
  <si>
    <t>MS Man Serv - Management Services Consulting and Ad hoc</t>
  </si>
  <si>
    <t>MS Man Serv - Management Services Financial Statements</t>
  </si>
  <si>
    <t>MS Man Serv - Management Services taxation</t>
  </si>
  <si>
    <t>MS Tax - Tax Consulting and Service</t>
  </si>
  <si>
    <t>Municipal 4 Otterkuil - Electricity (non-deductable)</t>
  </si>
  <si>
    <t>Municipal 4 Otterkuil - Rates, Refuse &amp; Sewerage (non-deductable)</t>
  </si>
  <si>
    <t>Municipal 4 Otterkuil - Water (non-deductable)</t>
  </si>
  <si>
    <t>Municipal Property - Electricity</t>
  </si>
  <si>
    <t>Municipal Property - Rates, Refuse &amp; Sewerage</t>
  </si>
  <si>
    <t>Municipal Property - Water</t>
  </si>
  <si>
    <t>Municipal Rates, Taxes &amp; Services - Goedeverwagting</t>
  </si>
  <si>
    <t>Office Expense - Equipment Repair</t>
  </si>
  <si>
    <t>Office Expense - Office Space Rental</t>
  </si>
  <si>
    <t>Office Expense - Other</t>
  </si>
  <si>
    <t>Office Expense - Software Subscriptions</t>
  </si>
  <si>
    <t>Penalties and Interest</t>
  </si>
  <si>
    <t>Printing &amp; Stationery</t>
  </si>
  <si>
    <t>Property / Advertising</t>
  </si>
  <si>
    <t>Property / Building Maintenance / Casual Workers</t>
  </si>
  <si>
    <t>Property / Building Maintenance / Consumables - General</t>
  </si>
  <si>
    <t>Property / Building Maintenance / Consumables - Pools</t>
  </si>
  <si>
    <t>Property / Cleaning / Consumables</t>
  </si>
  <si>
    <t>Property / Contractor - Builder / Handyman</t>
  </si>
  <si>
    <t>Property / Contractor - Electrical</t>
  </si>
  <si>
    <t>Property / Contractor - Garden, Land Scaping and Irrigation</t>
  </si>
  <si>
    <t>Property / Contractor - Internet</t>
  </si>
  <si>
    <t>Property / Contractor - Non Deductable</t>
  </si>
  <si>
    <t>Property / Contractor - Plumbing</t>
  </si>
  <si>
    <t>Property / Contractor - Security</t>
  </si>
  <si>
    <t>Property / Equipment &lt;7000 - INTERNET</t>
  </si>
  <si>
    <t>Property / Equipment &lt;7000 - SECURITY</t>
  </si>
  <si>
    <t>Property / Garden Maintenance / Casual Workers</t>
  </si>
  <si>
    <t>Property / Garden Maintenance / Consumables - Garden</t>
  </si>
  <si>
    <t>Property / Garden Maintenance / Consumables - Irrigation</t>
  </si>
  <si>
    <t>Property / Garden Maintenance / Equipment Maintenance</t>
  </si>
  <si>
    <t>Property / Garden Maintenance / Waste Removal</t>
  </si>
  <si>
    <t>Property / Internet Montly Fee</t>
  </si>
  <si>
    <t>Property / Long Term Rentals / Interest on Deposit</t>
  </si>
  <si>
    <t>Property / Maintenance / Recoverable</t>
  </si>
  <si>
    <t>Property / Prepaid Electricity</t>
  </si>
  <si>
    <t>Property / Renovations and Upgrades - Buildings</t>
  </si>
  <si>
    <t>Property / Security Montly Fee</t>
  </si>
  <si>
    <t>Rental Expense - MLD Trust</t>
  </si>
  <si>
    <t>Repairs and Maintenance - Paint</t>
  </si>
  <si>
    <t>Sound Equipment / Casual Labour</t>
  </si>
  <si>
    <t>Sound Equipment / Equipment &lt; 7000</t>
  </si>
  <si>
    <t>Sound Equipment / Marketing</t>
  </si>
  <si>
    <t>Traffic fines</t>
  </si>
  <si>
    <t>Transport Expense</t>
  </si>
  <si>
    <t>Travel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</si>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</sst>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4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128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61.5" customWidth="1"/>
    <col min="2" max="2" width="10.66015625" customWidth="1"/>
    <col min="3" max="3" width="12.66015625" customWidth="1"/>
    <col min="4" max="9" width="11.16015625" customWidth="1"/>
    <col min="10" max="10" width="14.33203125" customWidth="1"/>
    <col min="11" max="11" width="11.5" customWidth="1"/>
    <col min="12" max="12" width="12.66015625" customWidth="1"/>
    <col min="13" max="13" width="11.33203125" customWidth="1"/>
    <col min="14" max="17" width="11.160156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3.35" customHeight="true"/>
    <row r="5" ht="12.1" customHeight="true" customFormat="true" s="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  <c r="O5" s="7" t="s">
        <v>17</v>
      </c>
      <c r="P5" s="7" t="s">
        <v>18</v>
      </c>
      <c r="Q5" s="7" t="s">
        <v>19</v>
      </c>
    </row>
    <row r="6" ht="13.35" customHeight="true"/>
    <row r="7" ht="12.1" customHeight="true" customFormat="true" s="5">
      <c r="A7" s="8" t="s">
        <v>20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ht="10.95" customHeight="true" customFormat="true" s="9">
      <c r="A8" s="10" t="s">
        <v>21</v>
      </c>
      <c r="B8" s="11">
        <v>0</v>
      </c>
      <c r="C8" s="11">
        <v>-169073.5900</v>
      </c>
      <c r="D8" s="11">
        <v>136669.5600</v>
      </c>
      <c r="E8" s="11">
        <v>17217.3900</v>
      </c>
      <c r="F8" s="11">
        <v>8695.6500</v>
      </c>
      <c r="G8" s="11">
        <v>56086.9400</v>
      </c>
      <c r="H8" s="11">
        <v>0</v>
      </c>
      <c r="I8" s="11">
        <v>0</v>
      </c>
      <c r="J8" s="11">
        <v>0</v>
      </c>
      <c r="K8" s="11">
        <v>27663.0400</v>
      </c>
      <c r="L8" s="11">
        <v>0</v>
      </c>
      <c r="M8" s="11">
        <v>21790.0000</v>
      </c>
      <c r="N8" s="11">
        <v>0</v>
      </c>
      <c r="O8" s="11">
        <v>55600.0000</v>
      </c>
      <c r="P8" s="11">
        <v>0</v>
      </c>
      <c r="Q8" s="11">
        <v>15000.0000</v>
      </c>
    </row>
    <row r="9" ht="10.95" customHeight="true" customFormat="true" s="9">
      <c r="A9" s="12" t="s">
        <v>22</v>
      </c>
      <c r="B9" s="13">
        <v>0</v>
      </c>
      <c r="C9" s="13">
        <v>1793.9100</v>
      </c>
      <c r="D9" s="13">
        <v>0</v>
      </c>
      <c r="E9" s="13">
        <v>1472.2800</v>
      </c>
      <c r="F9" s="13">
        <v>5127.7600</v>
      </c>
      <c r="G9" s="13">
        <v>2938.8100</v>
      </c>
      <c r="H9" s="13">
        <v>3646.2800</v>
      </c>
      <c r="I9" s="13">
        <v>139.4800</v>
      </c>
      <c r="J9" s="13">
        <v>1587.9600</v>
      </c>
      <c r="K9" s="13">
        <v>7088.0800</v>
      </c>
      <c r="L9" s="13">
        <v>196.1200</v>
      </c>
      <c r="M9" s="13">
        <v>4079.2300</v>
      </c>
      <c r="N9" s="13">
        <v>1107.7000</v>
      </c>
      <c r="O9" s="13">
        <v>60.9800</v>
      </c>
      <c r="P9" s="13">
        <v>120.5000</v>
      </c>
      <c r="Q9" s="13">
        <v>272.6100</v>
      </c>
    </row>
    <row r="10" ht="10.95" customHeight="true" customFormat="true" s="9">
      <c r="A10" s="12" t="s">
        <v>23</v>
      </c>
      <c r="B10" s="13">
        <v>0</v>
      </c>
      <c r="C10" s="13">
        <v>0</v>
      </c>
      <c r="D10" s="13">
        <v>0</v>
      </c>
      <c r="E10" s="13">
        <v>43223.6700</v>
      </c>
      <c r="F10" s="13">
        <v>0</v>
      </c>
      <c r="G10" s="13">
        <v>23247.7600</v>
      </c>
      <c r="H10" s="13">
        <v>0</v>
      </c>
      <c r="I10" s="13">
        <v>44701.0300</v>
      </c>
      <c r="J10" s="13">
        <v>0</v>
      </c>
      <c r="K10" s="13">
        <v>43585.8400</v>
      </c>
      <c r="L10" s="13">
        <v>0</v>
      </c>
      <c r="M10" s="13">
        <v>9179.3800</v>
      </c>
      <c r="N10" s="13">
        <v>0</v>
      </c>
      <c r="O10" s="13">
        <v>41470.2300</v>
      </c>
      <c r="P10" s="13">
        <v>0</v>
      </c>
      <c r="Q10" s="13">
        <v>0</v>
      </c>
    </row>
    <row r="11" ht="10.95" customHeight="true" customFormat="true" s="9">
      <c r="A11" s="12" t="s">
        <v>24</v>
      </c>
      <c r="B11" s="13">
        <v>0</v>
      </c>
      <c r="C11" s="13">
        <v>3783.8500</v>
      </c>
      <c r="D11" s="13">
        <v>21587.1000</v>
      </c>
      <c r="E11" s="13">
        <v>11721.8300</v>
      </c>
      <c r="F11" s="13">
        <v>212131.0800</v>
      </c>
      <c r="G11" s="13">
        <v>234315.9800</v>
      </c>
      <c r="H11" s="13">
        <v>5291.4000</v>
      </c>
      <c r="I11" s="13">
        <v>2755.9500</v>
      </c>
      <c r="J11" s="13">
        <v>5450.2000</v>
      </c>
      <c r="K11" s="13">
        <v>39958.9500</v>
      </c>
      <c r="L11" s="13">
        <v>214862.0400</v>
      </c>
      <c r="M11" s="13">
        <v>301844.5300</v>
      </c>
      <c r="N11" s="13">
        <v>1977.6000</v>
      </c>
      <c r="O11" s="13">
        <v>2372.8000</v>
      </c>
      <c r="P11" s="13">
        <v>9937.5900</v>
      </c>
      <c r="Q11" s="13">
        <v>7125.7600</v>
      </c>
    </row>
    <row r="12" ht="10.95" customHeight="true" customFormat="true" s="9">
      <c r="A12" s="12" t="s">
        <v>25</v>
      </c>
      <c r="B12" s="13">
        <v>0</v>
      </c>
      <c r="C12" s="13">
        <v>0</v>
      </c>
      <c r="D12" s="13">
        <v>0</v>
      </c>
      <c r="E12" s="13">
        <v>0</v>
      </c>
      <c r="F12" s="13">
        <v>406.8000</v>
      </c>
      <c r="G12" s="13">
        <v>8726.4900</v>
      </c>
      <c r="H12" s="13">
        <v>0</v>
      </c>
      <c r="I12" s="13">
        <v>3161.6000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4950.0000</v>
      </c>
      <c r="Q12" s="13">
        <v>9000.0000</v>
      </c>
    </row>
    <row r="13" ht="10.95" customHeight="true" customFormat="true" s="9">
      <c r="A13" s="12" t="s">
        <v>26</v>
      </c>
      <c r="B13" s="13">
        <v>0</v>
      </c>
      <c r="C13" s="13">
        <v>0</v>
      </c>
      <c r="D13" s="13">
        <v>0</v>
      </c>
      <c r="E13" s="13">
        <v>0</v>
      </c>
      <c r="F13" s="13">
        <v>400.0000</v>
      </c>
      <c r="G13" s="13">
        <v>0</v>
      </c>
      <c r="H13" s="13">
        <v>6683.8000</v>
      </c>
      <c r="I13" s="13">
        <v>0</v>
      </c>
      <c r="J13" s="13">
        <v>0</v>
      </c>
      <c r="K13" s="13">
        <v>400.0000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</row>
    <row r="14" ht="10.95" customHeight="true" customFormat="true" s="9">
      <c r="A14" s="12" t="s">
        <v>27</v>
      </c>
      <c r="B14" s="13">
        <v>1249.0000</v>
      </c>
      <c r="C14" s="13">
        <v>1249.0000</v>
      </c>
      <c r="D14" s="13">
        <v>2498.0000</v>
      </c>
      <c r="E14" s="13">
        <v>1249.0000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</row>
    <row r="15" ht="10.95" customHeight="true" customFormat="true" s="9">
      <c r="A15" s="12" t="s">
        <v>28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1147705.3900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</row>
    <row r="16" ht="10.95" customHeight="true" customFormat="true" s="9">
      <c r="A16" s="12" t="s">
        <v>29</v>
      </c>
      <c r="B16" s="13">
        <v>63512.3300</v>
      </c>
      <c r="C16" s="13">
        <v>193200.0000</v>
      </c>
      <c r="D16" s="13">
        <v>188800.0000</v>
      </c>
      <c r="E16" s="13">
        <v>166219.3600</v>
      </c>
      <c r="F16" s="13">
        <v>187284.0000</v>
      </c>
      <c r="G16" s="13">
        <v>187284.0000</v>
      </c>
      <c r="H16" s="13">
        <v>187284.0000</v>
      </c>
      <c r="I16" s="13">
        <v>187284.0000</v>
      </c>
      <c r="J16" s="13">
        <v>184284.0000</v>
      </c>
      <c r="K16" s="13">
        <v>184284.0000</v>
      </c>
      <c r="L16" s="13">
        <v>184284.0000</v>
      </c>
      <c r="M16" s="13">
        <v>184284.0000</v>
      </c>
      <c r="N16" s="13">
        <v>125992.1300</v>
      </c>
      <c r="O16" s="13">
        <v>228850.0000</v>
      </c>
      <c r="P16" s="13">
        <v>211500.0000</v>
      </c>
      <c r="Q16" s="13">
        <v>195637.3800</v>
      </c>
    </row>
    <row r="17" ht="10.95" customHeight="true" customFormat="true" s="9">
      <c r="A17" s="14" t="s">
        <v>30</v>
      </c>
      <c r="B17" s="15">
        <f ca="1">SUM(B8:B16)</f>
        <v>0</v>
      </c>
      <c r="C17" s="15">
        <f ca="1">SUM(C8:C16)</f>
        <v>0</v>
      </c>
      <c r="D17" s="15">
        <f ca="1">SUM(D8:D16)</f>
        <v>0</v>
      </c>
      <c r="E17" s="15">
        <f ca="1">SUM(E8:E16)</f>
        <v>0</v>
      </c>
      <c r="F17" s="15">
        <f ca="1">SUM(F8:F16)</f>
        <v>0</v>
      </c>
      <c r="G17" s="15">
        <f ca="1">SUM(G8:G16)</f>
        <v>0</v>
      </c>
      <c r="H17" s="15">
        <f ca="1">SUM(H8:H16)</f>
        <v>0</v>
      </c>
      <c r="I17" s="15">
        <f ca="1">SUM(I8:I16)</f>
        <v>0</v>
      </c>
      <c r="J17" s="15">
        <f ca="1">SUM(J8:J16)</f>
        <v>0</v>
      </c>
      <c r="K17" s="15">
        <f ca="1">SUM(K8:K16)</f>
        <v>0</v>
      </c>
      <c r="L17" s="15">
        <f ca="1">SUM(L8:L16)</f>
        <v>0</v>
      </c>
      <c r="M17" s="15">
        <f ca="1">SUM(M8:M16)</f>
        <v>0</v>
      </c>
      <c r="N17" s="15">
        <f ca="1">SUM(N8:N16)</f>
        <v>0</v>
      </c>
      <c r="O17" s="15">
        <f ca="1">SUM(O8:O16)</f>
        <v>0</v>
      </c>
      <c r="P17" s="15">
        <f ca="1">SUM(P8:P16)</f>
        <v>0</v>
      </c>
      <c r="Q17" s="15">
        <f ca="1">SUM(Q8:Q16)</f>
        <v>0</v>
      </c>
    </row>
    <row r="18" ht="13.35" customHeight="true"/>
    <row r="19" ht="10.95" customHeight="true" customFormat="true" s="9">
      <c r="A19" s="16" t="s">
        <v>31</v>
      </c>
      <c r="B19" s="17">
        <f ca="1">(B17 - 0)</f>
        <v>0</v>
      </c>
      <c r="C19" s="17">
        <f ca="1">(C17 - 0)</f>
        <v>0</v>
      </c>
      <c r="D19" s="17">
        <f ca="1">(D17 - 0)</f>
        <v>0</v>
      </c>
      <c r="E19" s="17">
        <f ca="1">(E17 - 0)</f>
        <v>0</v>
      </c>
      <c r="F19" s="17">
        <f ca="1">(F17 - 0)</f>
        <v>0</v>
      </c>
      <c r="G19" s="17">
        <f ca="1">(G17 - 0)</f>
        <v>0</v>
      </c>
      <c r="H19" s="17">
        <f ca="1">(H17 - 0)</f>
        <v>0</v>
      </c>
      <c r="I19" s="17">
        <f ca="1">(I17 - 0)</f>
        <v>0</v>
      </c>
      <c r="J19" s="17">
        <f ca="1">(J17 - 0)</f>
        <v>0</v>
      </c>
      <c r="K19" s="17">
        <f ca="1">(K17 - 0)</f>
        <v>0</v>
      </c>
      <c r="L19" s="17">
        <f ca="1">(L17 - 0)</f>
        <v>0</v>
      </c>
      <c r="M19" s="17">
        <f ca="1">(M17 - 0)</f>
        <v>0</v>
      </c>
      <c r="N19" s="17">
        <f ca="1">(N17 - 0)</f>
        <v>0</v>
      </c>
      <c r="O19" s="17">
        <f ca="1">(O17 - 0)</f>
        <v>0</v>
      </c>
      <c r="P19" s="17">
        <f ca="1">(P17 - 0)</f>
        <v>0</v>
      </c>
      <c r="Q19" s="17">
        <f ca="1">(Q17 - 0)</f>
        <v>0</v>
      </c>
    </row>
    <row r="20" ht="13.35" customHeight="true"/>
    <row r="21" ht="12.1" customHeight="true" customFormat="true" s="5">
      <c r="A21" s="8" t="s">
        <v>32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ht="10.95" customHeight="true" customFormat="true" s="9">
      <c r="A22" s="10" t="s">
        <v>33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-2409303.6800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</row>
    <row r="23" ht="10.95" customHeight="true" customFormat="true" s="9">
      <c r="A23" s="12" t="s">
        <v>34</v>
      </c>
      <c r="B23" s="13">
        <v>0</v>
      </c>
      <c r="C23" s="13">
        <v>0</v>
      </c>
      <c r="D23" s="13">
        <v>0</v>
      </c>
      <c r="E23" s="13">
        <v>0</v>
      </c>
      <c r="F23" s="13">
        <v>110000.0000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78282.0000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</row>
    <row r="24" ht="10.95" customHeight="true" customFormat="true" s="9">
      <c r="A24" s="12" t="s">
        <v>35</v>
      </c>
      <c r="B24" s="13">
        <v>0</v>
      </c>
      <c r="C24" s="13">
        <v>0</v>
      </c>
      <c r="D24" s="13">
        <v>-2601.5200</v>
      </c>
      <c r="E24" s="13">
        <v>0</v>
      </c>
      <c r="F24" s="13">
        <v>2880.0000</v>
      </c>
      <c r="G24" s="13">
        <v>0</v>
      </c>
      <c r="H24" s="13">
        <v>140268.0500</v>
      </c>
      <c r="I24" s="13">
        <v>15101.5700</v>
      </c>
      <c r="J24" s="13">
        <v>0</v>
      </c>
      <c r="K24" s="13">
        <v>0</v>
      </c>
      <c r="L24" s="13">
        <v>-322782.9700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</row>
    <row r="25" ht="10.95" customHeight="true" customFormat="true" s="9">
      <c r="A25" s="12" t="s">
        <v>36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9388.8900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</row>
    <row r="26" ht="10.95" customHeight="true" customFormat="true" s="9">
      <c r="A26" s="12" t="s">
        <v>37</v>
      </c>
      <c r="B26" s="13">
        <v>67.4900</v>
      </c>
      <c r="C26" s="13">
        <v>173.2100</v>
      </c>
      <c r="D26" s="13">
        <v>242.0600</v>
      </c>
      <c r="E26" s="13">
        <v>93.5900</v>
      </c>
      <c r="F26" s="13">
        <v>87.0400</v>
      </c>
      <c r="G26" s="13">
        <v>109.5200</v>
      </c>
      <c r="H26" s="13">
        <v>215.8200</v>
      </c>
      <c r="I26" s="13">
        <v>62.4100</v>
      </c>
      <c r="J26" s="13">
        <v>27.2800</v>
      </c>
      <c r="K26" s="13">
        <v>38.7100</v>
      </c>
      <c r="L26" s="13">
        <v>74.6600</v>
      </c>
      <c r="M26" s="13">
        <v>336.7300</v>
      </c>
      <c r="N26" s="13">
        <v>16.0200</v>
      </c>
      <c r="O26" s="13">
        <v>38.7200</v>
      </c>
      <c r="P26" s="13">
        <v>217.0400</v>
      </c>
      <c r="Q26" s="13">
        <v>398.6300</v>
      </c>
    </row>
    <row r="27" ht="10.95" customHeight="true" customFormat="true" s="9">
      <c r="A27" s="12" t="s">
        <v>38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96629.8600</v>
      </c>
    </row>
    <row r="28" ht="10.95" customHeight="true" customFormat="true" s="9">
      <c r="A28" s="12" t="s">
        <v>39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515691.7900</v>
      </c>
      <c r="N28" s="13">
        <v>581556.5900</v>
      </c>
      <c r="O28" s="13">
        <v>0</v>
      </c>
      <c r="P28" s="13">
        <v>0</v>
      </c>
      <c r="Q28" s="13">
        <v>0</v>
      </c>
    </row>
    <row r="29" ht="10.95" customHeight="true" customFormat="true" s="9">
      <c r="A29" s="12" t="s">
        <v>40</v>
      </c>
      <c r="B29" s="13">
        <v>0</v>
      </c>
      <c r="C29" s="13">
        <v>0</v>
      </c>
      <c r="D29" s="13">
        <v>938.0000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14446.0000</v>
      </c>
      <c r="O29" s="13">
        <v>0</v>
      </c>
      <c r="P29" s="13">
        <v>0</v>
      </c>
      <c r="Q29" s="13">
        <v>0</v>
      </c>
    </row>
    <row r="30" ht="10.95" customHeight="true" customFormat="true" s="9">
      <c r="A30" s="12" t="s">
        <v>41</v>
      </c>
      <c r="B30" s="13">
        <v>1149.4700</v>
      </c>
      <c r="C30" s="13">
        <v>0</v>
      </c>
      <c r="D30" s="13">
        <v>3593.3000</v>
      </c>
      <c r="E30" s="13">
        <v>3909.2700</v>
      </c>
      <c r="F30" s="13">
        <v>0</v>
      </c>
      <c r="G30" s="13">
        <v>7908.8400</v>
      </c>
      <c r="H30" s="13">
        <v>4604.9300</v>
      </c>
      <c r="I30" s="13">
        <v>0</v>
      </c>
      <c r="J30" s="13">
        <v>6216.9100</v>
      </c>
      <c r="K30" s="13">
        <v>3433.8100</v>
      </c>
      <c r="L30" s="13">
        <v>0</v>
      </c>
      <c r="M30" s="13">
        <v>2687.3800</v>
      </c>
      <c r="N30" s="13">
        <v>3443.6200</v>
      </c>
      <c r="O30" s="13">
        <v>1301.4400</v>
      </c>
      <c r="P30" s="13">
        <v>0</v>
      </c>
      <c r="Q30" s="13">
        <v>0</v>
      </c>
    </row>
    <row r="31" ht="10.95" customHeight="true" customFormat="true" s="9">
      <c r="A31" s="12" t="s">
        <v>42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-400.0000</v>
      </c>
      <c r="O31" s="13">
        <v>0</v>
      </c>
      <c r="P31" s="13">
        <v>0</v>
      </c>
      <c r="Q31" s="13">
        <v>0</v>
      </c>
    </row>
    <row r="32" ht="10.95" customHeight="true" customFormat="true" s="9">
      <c r="A32" s="14" t="s">
        <v>43</v>
      </c>
      <c r="B32" s="15">
        <f ca="1">SUM(B22:B31)</f>
        <v>0</v>
      </c>
      <c r="C32" s="15">
        <f ca="1">SUM(C22:C31)</f>
        <v>0</v>
      </c>
      <c r="D32" s="15">
        <f ca="1">SUM(D22:D31)</f>
        <v>0</v>
      </c>
      <c r="E32" s="15">
        <f ca="1">SUM(E22:E31)</f>
        <v>0</v>
      </c>
      <c r="F32" s="15">
        <f ca="1">SUM(F22:F31)</f>
        <v>0</v>
      </c>
      <c r="G32" s="15">
        <f ca="1">SUM(G22:G31)</f>
        <v>0</v>
      </c>
      <c r="H32" s="15">
        <f ca="1">SUM(H22:H31)</f>
        <v>0</v>
      </c>
      <c r="I32" s="15">
        <f ca="1">SUM(I22:I31)</f>
        <v>0</v>
      </c>
      <c r="J32" s="15">
        <f ca="1">SUM(J22:J31)</f>
        <v>0</v>
      </c>
      <c r="K32" s="15">
        <f ca="1">SUM(K22:K31)</f>
        <v>0</v>
      </c>
      <c r="L32" s="15">
        <f ca="1">SUM(L22:L31)</f>
        <v>0</v>
      </c>
      <c r="M32" s="15">
        <f ca="1">SUM(M22:M31)</f>
        <v>0</v>
      </c>
      <c r="N32" s="15">
        <f ca="1">SUM(N22:N31)</f>
        <v>0</v>
      </c>
      <c r="O32" s="15">
        <f ca="1">SUM(O22:O31)</f>
        <v>0</v>
      </c>
      <c r="P32" s="15">
        <f ca="1">SUM(P22:P31)</f>
        <v>0</v>
      </c>
      <c r="Q32" s="15">
        <f ca="1">SUM(Q22:Q31)</f>
        <v>0</v>
      </c>
    </row>
    <row r="33" ht="13.35" customHeight="true"/>
    <row r="34" ht="12.1" customHeight="true" customFormat="true" s="5">
      <c r="A34" s="8" t="s">
        <v>44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ht="10.95" customHeight="true" customFormat="true" s="9">
      <c r="A35" s="10" t="s">
        <v>45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1183.7000</v>
      </c>
    </row>
    <row r="36" ht="10.95" customHeight="true" customFormat="true" s="9">
      <c r="A36" s="12" t="s">
        <v>46</v>
      </c>
      <c r="B36" s="13">
        <v>0</v>
      </c>
      <c r="C36" s="13">
        <v>0</v>
      </c>
      <c r="D36" s="13">
        <v>0</v>
      </c>
      <c r="E36" s="13">
        <v>0</v>
      </c>
      <c r="F36" s="13">
        <v>599.0000</v>
      </c>
      <c r="G36" s="13">
        <v>0</v>
      </c>
      <c r="H36" s="13">
        <v>252.5000</v>
      </c>
      <c r="I36" s="13">
        <v>2987.4600</v>
      </c>
      <c r="J36" s="13">
        <v>699.0000</v>
      </c>
      <c r="K36" s="13">
        <v>399.0000</v>
      </c>
      <c r="L36" s="13">
        <v>0</v>
      </c>
      <c r="M36" s="13">
        <v>0</v>
      </c>
      <c r="N36" s="13">
        <v>1518.0000</v>
      </c>
      <c r="O36" s="13">
        <v>0</v>
      </c>
      <c r="P36" s="13">
        <v>0</v>
      </c>
      <c r="Q36" s="13">
        <v>0</v>
      </c>
    </row>
    <row r="37" ht="10.95" customHeight="true" customFormat="true" s="9">
      <c r="A37" s="12" t="s">
        <v>47</v>
      </c>
      <c r="B37" s="13">
        <v>2.3900</v>
      </c>
      <c r="C37" s="13">
        <v>35.9500</v>
      </c>
      <c r="D37" s="13">
        <v>9.4600</v>
      </c>
      <c r="E37" s="13">
        <v>19.5300</v>
      </c>
      <c r="F37" s="13">
        <v>1673.5000</v>
      </c>
      <c r="G37" s="13">
        <v>119.5300</v>
      </c>
      <c r="H37" s="13">
        <v>828.6300</v>
      </c>
      <c r="I37" s="13">
        <v>14.0600</v>
      </c>
      <c r="J37" s="13">
        <v>65.7300</v>
      </c>
      <c r="K37" s="13">
        <v>43.3100</v>
      </c>
      <c r="L37" s="13">
        <v>109.6900</v>
      </c>
      <c r="M37" s="13">
        <v>75.1500</v>
      </c>
      <c r="N37" s="13">
        <v>122.3500</v>
      </c>
      <c r="O37" s="13">
        <v>0</v>
      </c>
      <c r="P37" s="13">
        <v>0</v>
      </c>
      <c r="Q37" s="13">
        <v>44.0700</v>
      </c>
    </row>
    <row r="38" ht="10.95" customHeight="true" customFormat="true" s="9">
      <c r="A38" s="12" t="s">
        <v>48</v>
      </c>
      <c r="B38" s="13">
        <v>0</v>
      </c>
      <c r="C38" s="13">
        <v>0</v>
      </c>
      <c r="D38" s="13">
        <v>2487.9300</v>
      </c>
      <c r="E38" s="13">
        <v>2601.7900</v>
      </c>
      <c r="F38" s="13">
        <v>2507.8000</v>
      </c>
      <c r="G38" s="13">
        <v>2577.2400</v>
      </c>
      <c r="H38" s="13">
        <v>2595.7000</v>
      </c>
      <c r="I38" s="13">
        <v>2493.2300</v>
      </c>
      <c r="J38" s="13">
        <v>2558.1200</v>
      </c>
      <c r="K38" s="13">
        <v>2467.8300</v>
      </c>
      <c r="L38" s="13">
        <v>1755.8500</v>
      </c>
      <c r="M38" s="13">
        <v>341.5200</v>
      </c>
      <c r="N38" s="13">
        <v>78.8100</v>
      </c>
      <c r="O38" s="13">
        <v>0</v>
      </c>
      <c r="P38" s="13">
        <v>0</v>
      </c>
      <c r="Q38" s="13">
        <v>0</v>
      </c>
    </row>
    <row r="39" ht="10.95" customHeight="true" customFormat="true" s="9">
      <c r="A39" s="12" t="s">
        <v>49</v>
      </c>
      <c r="B39" s="13">
        <v>112.0000</v>
      </c>
      <c r="C39" s="13">
        <v>238.0000</v>
      </c>
      <c r="D39" s="13">
        <v>224.0000</v>
      </c>
      <c r="E39" s="13">
        <v>133.0000</v>
      </c>
      <c r="F39" s="13">
        <v>112.0000</v>
      </c>
      <c r="G39" s="13">
        <v>168.0000</v>
      </c>
      <c r="H39" s="13">
        <v>154.0000</v>
      </c>
      <c r="I39" s="13">
        <v>71.5000</v>
      </c>
      <c r="J39" s="13">
        <v>143.0000</v>
      </c>
      <c r="K39" s="13">
        <v>52.0000</v>
      </c>
      <c r="L39" s="13">
        <v>169.0000</v>
      </c>
      <c r="M39" s="13">
        <v>208.0000</v>
      </c>
      <c r="N39" s="13">
        <v>97.5000</v>
      </c>
      <c r="O39" s="13">
        <v>182.0000</v>
      </c>
      <c r="P39" s="13">
        <v>240.5000</v>
      </c>
      <c r="Q39" s="13">
        <v>104.0000</v>
      </c>
    </row>
    <row r="40" ht="10.95" customHeight="true" customFormat="true" s="9">
      <c r="A40" s="12" t="s">
        <v>50</v>
      </c>
      <c r="B40" s="13">
        <v>10.0000</v>
      </c>
      <c r="C40" s="13">
        <v>340.0000</v>
      </c>
      <c r="D40" s="13">
        <v>290.0000</v>
      </c>
      <c r="E40" s="13">
        <v>390.0000</v>
      </c>
      <c r="F40" s="13">
        <v>190.0700</v>
      </c>
      <c r="G40" s="13">
        <v>420.0000</v>
      </c>
      <c r="H40" s="13">
        <v>228.0000</v>
      </c>
      <c r="I40" s="13">
        <v>291.4600</v>
      </c>
      <c r="J40" s="13">
        <v>303.0000</v>
      </c>
      <c r="K40" s="13">
        <v>390.0000</v>
      </c>
      <c r="L40" s="13">
        <v>960.0000</v>
      </c>
      <c r="M40" s="13">
        <v>280.0000</v>
      </c>
      <c r="N40" s="13">
        <v>290.0000</v>
      </c>
      <c r="O40" s="13">
        <v>340.0000</v>
      </c>
      <c r="P40" s="13">
        <v>450.0000</v>
      </c>
      <c r="Q40" s="13">
        <v>170.0000</v>
      </c>
    </row>
    <row r="41" ht="10.95" customHeight="true" customFormat="true" s="9">
      <c r="A41" s="12" t="s">
        <v>51</v>
      </c>
      <c r="B41" s="13">
        <v>350.0000</v>
      </c>
      <c r="C41" s="13">
        <v>350.0000</v>
      </c>
      <c r="D41" s="13">
        <v>365.0000</v>
      </c>
      <c r="E41" s="13">
        <v>350.0000</v>
      </c>
      <c r="F41" s="13">
        <v>350.0000</v>
      </c>
      <c r="G41" s="13">
        <v>350.0000</v>
      </c>
      <c r="H41" s="13">
        <v>335.0000</v>
      </c>
      <c r="I41" s="13">
        <v>335.0000</v>
      </c>
      <c r="J41" s="13">
        <v>192.7400</v>
      </c>
      <c r="K41" s="13">
        <v>341.0000</v>
      </c>
      <c r="L41" s="13">
        <v>345.9800</v>
      </c>
      <c r="M41" s="13">
        <v>353.0000</v>
      </c>
      <c r="N41" s="13">
        <v>341.0000</v>
      </c>
      <c r="O41" s="13">
        <v>650.0000</v>
      </c>
      <c r="P41" s="13">
        <v>345.0000</v>
      </c>
      <c r="Q41" s="13">
        <v>340.9800</v>
      </c>
    </row>
    <row r="42" ht="10.95" customHeight="true" customFormat="true" s="9">
      <c r="A42" s="12" t="s">
        <v>52</v>
      </c>
      <c r="B42" s="13">
        <v>0</v>
      </c>
      <c r="C42" s="13">
        <v>185.3900</v>
      </c>
      <c r="D42" s="13">
        <v>2809.0800</v>
      </c>
      <c r="E42" s="13">
        <v>143.5200</v>
      </c>
      <c r="F42" s="13">
        <v>502.9300</v>
      </c>
      <c r="G42" s="13">
        <v>3096.1500</v>
      </c>
      <c r="H42" s="13">
        <v>348.2700</v>
      </c>
      <c r="I42" s="13">
        <v>0</v>
      </c>
      <c r="J42" s="13">
        <v>3273.6300</v>
      </c>
      <c r="K42" s="13">
        <v>647.8700</v>
      </c>
      <c r="L42" s="13">
        <v>3934.7700</v>
      </c>
      <c r="M42" s="13">
        <v>2300.8900</v>
      </c>
      <c r="N42" s="13">
        <v>3.5300</v>
      </c>
      <c r="O42" s="13">
        <v>5.4600</v>
      </c>
      <c r="P42" s="13">
        <v>2200.2200</v>
      </c>
      <c r="Q42" s="13">
        <v>23.8800</v>
      </c>
    </row>
    <row r="43" ht="10.95" customHeight="true" customFormat="true" s="9">
      <c r="A43" s="12" t="s">
        <v>53</v>
      </c>
      <c r="B43" s="13">
        <v>0</v>
      </c>
      <c r="C43" s="13">
        <v>0</v>
      </c>
      <c r="D43" s="13">
        <v>0</v>
      </c>
      <c r="E43" s="13">
        <v>0</v>
      </c>
      <c r="F43" s="13">
        <v>110000.0000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78282.0000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</row>
    <row r="44" ht="10.95" customHeight="true" customFormat="true" s="9">
      <c r="A44" s="12" t="s">
        <v>54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3450.0000</v>
      </c>
      <c r="O44" s="13">
        <v>0</v>
      </c>
      <c r="P44" s="13">
        <v>0</v>
      </c>
      <c r="Q44" s="13">
        <v>0</v>
      </c>
    </row>
    <row r="45" ht="10.95" customHeight="true" customFormat="true" s="9">
      <c r="A45" s="12" t="s">
        <v>55</v>
      </c>
      <c r="B45" s="13">
        <v>0</v>
      </c>
      <c r="C45" s="13">
        <v>0</v>
      </c>
      <c r="D45" s="13">
        <v>0</v>
      </c>
      <c r="E45" s="13">
        <v>0</v>
      </c>
      <c r="F45" s="13">
        <v>600.0000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600.0000</v>
      </c>
      <c r="O45" s="13">
        <v>0</v>
      </c>
      <c r="P45" s="13">
        <v>0</v>
      </c>
      <c r="Q45" s="13">
        <v>0</v>
      </c>
    </row>
    <row r="46" ht="10.95" customHeight="true" customFormat="true" s="9">
      <c r="A46" s="12" t="s">
        <v>56</v>
      </c>
      <c r="B46" s="13">
        <v>0</v>
      </c>
      <c r="C46" s="13">
        <v>130.4300</v>
      </c>
      <c r="D46" s="13">
        <v>0</v>
      </c>
      <c r="E46" s="13">
        <v>107253.0000</v>
      </c>
      <c r="F46" s="13">
        <v>43862.3000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5750.0000</v>
      </c>
      <c r="O46" s="13">
        <v>0</v>
      </c>
      <c r="P46" s="13">
        <v>0</v>
      </c>
      <c r="Q46" s="13">
        <v>230.0000</v>
      </c>
    </row>
    <row r="47" ht="10.95" customHeight="true" customFormat="true" s="9">
      <c r="A47" s="12" t="s">
        <v>57</v>
      </c>
      <c r="B47" s="13">
        <v>0</v>
      </c>
      <c r="C47" s="13">
        <v>0</v>
      </c>
      <c r="D47" s="13">
        <v>57998.8500</v>
      </c>
      <c r="E47" s="13">
        <v>56113.0300</v>
      </c>
      <c r="F47" s="13">
        <v>55551.7300</v>
      </c>
      <c r="G47" s="13">
        <v>54042.1800</v>
      </c>
      <c r="H47" s="13">
        <v>54448.2000</v>
      </c>
      <c r="I47" s="13">
        <v>54432.0500</v>
      </c>
      <c r="J47" s="13">
        <v>50437.2900</v>
      </c>
      <c r="K47" s="13">
        <v>49612.5100</v>
      </c>
      <c r="L47" s="13">
        <v>48068.2900</v>
      </c>
      <c r="M47" s="13">
        <v>49842.1100</v>
      </c>
      <c r="N47" s="13">
        <v>45748.9000</v>
      </c>
      <c r="O47" s="13">
        <v>50631.5700</v>
      </c>
      <c r="P47" s="13">
        <v>50631.5700</v>
      </c>
      <c r="Q47" s="13">
        <v>48865.2400</v>
      </c>
    </row>
    <row r="48" ht="10.95" customHeight="true" customFormat="true" s="9">
      <c r="A48" s="12" t="s">
        <v>58</v>
      </c>
      <c r="B48" s="13">
        <v>0</v>
      </c>
      <c r="C48" s="13">
        <v>106.0000</v>
      </c>
      <c r="D48" s="13">
        <v>1389.5300</v>
      </c>
      <c r="E48" s="13">
        <v>2503.9600</v>
      </c>
      <c r="F48" s="13">
        <v>1478.6900</v>
      </c>
      <c r="G48" s="13">
        <v>687.9500</v>
      </c>
      <c r="H48" s="13">
        <v>740.8100</v>
      </c>
      <c r="I48" s="13">
        <v>987.5600</v>
      </c>
      <c r="J48" s="13">
        <v>1104.4600</v>
      </c>
      <c r="K48" s="13">
        <v>767.3600</v>
      </c>
      <c r="L48" s="13">
        <v>587.3500</v>
      </c>
      <c r="M48" s="13">
        <v>594.4200</v>
      </c>
      <c r="N48" s="13">
        <v>409.9400</v>
      </c>
      <c r="O48" s="13">
        <v>0</v>
      </c>
      <c r="P48" s="13">
        <v>99.0000</v>
      </c>
      <c r="Q48" s="13">
        <v>0</v>
      </c>
    </row>
    <row r="49" ht="10.95" customHeight="true" customFormat="true" s="9">
      <c r="A49" s="12" t="s">
        <v>59</v>
      </c>
      <c r="B49" s="13">
        <v>0</v>
      </c>
      <c r="C49" s="13">
        <v>0</v>
      </c>
      <c r="D49" s="13">
        <v>1148.0000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</row>
    <row r="50" ht="10.95" customHeight="true" customFormat="true" s="9">
      <c r="A50" s="12" t="s">
        <v>60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299.9900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</row>
    <row r="51" ht="10.95" customHeight="true" customFormat="true" s="9">
      <c r="A51" s="12" t="s">
        <v>61</v>
      </c>
      <c r="B51" s="13">
        <v>0</v>
      </c>
      <c r="C51" s="13">
        <v>0</v>
      </c>
      <c r="D51" s="13">
        <v>7660.0100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750.0000</v>
      </c>
      <c r="M51" s="13">
        <v>1650.0000</v>
      </c>
      <c r="N51" s="13">
        <v>960.0000</v>
      </c>
      <c r="O51" s="13">
        <v>750.0000</v>
      </c>
      <c r="P51" s="13">
        <v>6730.0000</v>
      </c>
      <c r="Q51" s="13">
        <v>0</v>
      </c>
    </row>
    <row r="52" ht="10.95" customHeight="true" customFormat="true" s="9">
      <c r="A52" s="12" t="s">
        <v>62</v>
      </c>
      <c r="B52" s="13">
        <v>0</v>
      </c>
      <c r="C52" s="13">
        <v>0</v>
      </c>
      <c r="D52" s="13">
        <v>0</v>
      </c>
      <c r="E52" s="13">
        <v>650.0000</v>
      </c>
      <c r="F52" s="13">
        <v>0</v>
      </c>
      <c r="G52" s="13">
        <v>0</v>
      </c>
      <c r="H52" s="13">
        <v>1750.0000</v>
      </c>
      <c r="I52" s="13">
        <v>0</v>
      </c>
      <c r="J52" s="13">
        <v>4670.0000</v>
      </c>
      <c r="K52" s="13">
        <v>920.0000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</row>
    <row r="53" ht="10.95" customHeight="true" customFormat="true" s="9">
      <c r="A53" s="12" t="s">
        <v>63</v>
      </c>
      <c r="B53" s="13">
        <v>0</v>
      </c>
      <c r="C53" s="13">
        <v>0</v>
      </c>
      <c r="D53" s="13">
        <v>13041.6700</v>
      </c>
      <c r="E53" s="13">
        <v>13041.6700</v>
      </c>
      <c r="F53" s="13">
        <v>13041.6700</v>
      </c>
      <c r="G53" s="13">
        <v>13041.6700</v>
      </c>
      <c r="H53" s="13">
        <v>13041.6700</v>
      </c>
      <c r="I53" s="13">
        <v>13041.6700</v>
      </c>
      <c r="J53" s="13">
        <v>13041.6700</v>
      </c>
      <c r="K53" s="13">
        <v>13041.6500</v>
      </c>
      <c r="L53" s="13">
        <v>13041.6700</v>
      </c>
      <c r="M53" s="13">
        <v>13041.6700</v>
      </c>
      <c r="N53" s="13">
        <v>13041.6700</v>
      </c>
      <c r="O53" s="13">
        <v>13041.6700</v>
      </c>
      <c r="P53" s="13">
        <v>13041.6700</v>
      </c>
      <c r="Q53" s="13">
        <v>13041.6700</v>
      </c>
    </row>
    <row r="54" ht="10.95" customHeight="true" customFormat="true" s="9">
      <c r="A54" s="12" t="s">
        <v>64</v>
      </c>
      <c r="B54" s="13">
        <v>0</v>
      </c>
      <c r="C54" s="13">
        <v>0</v>
      </c>
      <c r="D54" s="13">
        <v>130.4200</v>
      </c>
      <c r="E54" s="13">
        <v>130.4200</v>
      </c>
      <c r="F54" s="13">
        <v>130.4200</v>
      </c>
      <c r="G54" s="13">
        <v>130.4200</v>
      </c>
      <c r="H54" s="13">
        <v>130.4200</v>
      </c>
      <c r="I54" s="13">
        <v>130.4200</v>
      </c>
      <c r="J54" s="13">
        <v>130.4200</v>
      </c>
      <c r="K54" s="13">
        <v>130.4200</v>
      </c>
      <c r="L54" s="13">
        <v>130.4200</v>
      </c>
      <c r="M54" s="13">
        <v>130.4200</v>
      </c>
      <c r="N54" s="13">
        <v>130.4200</v>
      </c>
      <c r="O54" s="13">
        <v>130.4200</v>
      </c>
      <c r="P54" s="13">
        <v>130.4200</v>
      </c>
      <c r="Q54" s="13">
        <v>130.4200</v>
      </c>
    </row>
    <row r="55" ht="10.95" customHeight="true" customFormat="true" s="9">
      <c r="A55" s="12" t="s">
        <v>65</v>
      </c>
      <c r="B55" s="13">
        <v>0</v>
      </c>
      <c r="C55" s="13">
        <v>0</v>
      </c>
      <c r="D55" s="13">
        <v>130.4200</v>
      </c>
      <c r="E55" s="13">
        <v>130.4200</v>
      </c>
      <c r="F55" s="13">
        <v>130.4200</v>
      </c>
      <c r="G55" s="13">
        <v>130.4200</v>
      </c>
      <c r="H55" s="13">
        <v>130.4200</v>
      </c>
      <c r="I55" s="13">
        <v>130.4200</v>
      </c>
      <c r="J55" s="13">
        <v>130.4200</v>
      </c>
      <c r="K55" s="13">
        <v>130.4200</v>
      </c>
      <c r="L55" s="13">
        <v>130.4200</v>
      </c>
      <c r="M55" s="13">
        <v>130.4200</v>
      </c>
      <c r="N55" s="13">
        <v>130.4200</v>
      </c>
      <c r="O55" s="13">
        <v>130.4200</v>
      </c>
      <c r="P55" s="13">
        <v>130.4200</v>
      </c>
      <c r="Q55" s="13">
        <v>130.4200</v>
      </c>
    </row>
    <row r="56" ht="10.95" customHeight="true" customFormat="true" s="9">
      <c r="A56" s="12" t="s">
        <v>66</v>
      </c>
      <c r="B56" s="13">
        <v>0</v>
      </c>
      <c r="C56" s="13">
        <v>0</v>
      </c>
      <c r="D56" s="13">
        <v>10000.0000</v>
      </c>
      <c r="E56" s="13">
        <v>10000.0000</v>
      </c>
      <c r="F56" s="13">
        <v>10000.0000</v>
      </c>
      <c r="G56" s="13">
        <v>10000.0000</v>
      </c>
      <c r="H56" s="13">
        <v>10000.0000</v>
      </c>
      <c r="I56" s="13">
        <v>10000.0000</v>
      </c>
      <c r="J56" s="13">
        <v>10000.0000</v>
      </c>
      <c r="K56" s="13">
        <v>10000.0000</v>
      </c>
      <c r="L56" s="13">
        <v>10000.0000</v>
      </c>
      <c r="M56" s="13">
        <v>10000.0000</v>
      </c>
      <c r="N56" s="13">
        <v>10000.0000</v>
      </c>
      <c r="O56" s="13">
        <v>10000.0000</v>
      </c>
      <c r="P56" s="13">
        <v>10000.0000</v>
      </c>
      <c r="Q56" s="13">
        <v>10000.0000</v>
      </c>
    </row>
    <row r="57" ht="10.95" customHeight="true" customFormat="true" s="9">
      <c r="A57" s="12" t="s">
        <v>67</v>
      </c>
      <c r="B57" s="13">
        <v>0</v>
      </c>
      <c r="C57" s="13">
        <v>0</v>
      </c>
      <c r="D57" s="13">
        <v>118.0000</v>
      </c>
      <c r="E57" s="13">
        <v>118.0000</v>
      </c>
      <c r="F57" s="13">
        <v>118.0000</v>
      </c>
      <c r="G57" s="13">
        <v>118.0000</v>
      </c>
      <c r="H57" s="13">
        <v>118.0000</v>
      </c>
      <c r="I57" s="13">
        <v>118.0000</v>
      </c>
      <c r="J57" s="13">
        <v>118.0000</v>
      </c>
      <c r="K57" s="13">
        <v>118.0000</v>
      </c>
      <c r="L57" s="13">
        <v>118.0000</v>
      </c>
      <c r="M57" s="13">
        <v>118.0000</v>
      </c>
      <c r="N57" s="13">
        <v>118.0000</v>
      </c>
      <c r="O57" s="13">
        <v>118.0000</v>
      </c>
      <c r="P57" s="13">
        <v>118.0000</v>
      </c>
      <c r="Q57" s="13">
        <v>118.0000</v>
      </c>
    </row>
    <row r="58" ht="10.95" customHeight="true" customFormat="true" s="9">
      <c r="A58" s="12" t="s">
        <v>68</v>
      </c>
      <c r="B58" s="13">
        <v>0</v>
      </c>
      <c r="C58" s="13">
        <v>0</v>
      </c>
      <c r="D58" s="13">
        <v>118.0000</v>
      </c>
      <c r="E58" s="13">
        <v>118.0000</v>
      </c>
      <c r="F58" s="13">
        <v>118.0000</v>
      </c>
      <c r="G58" s="13">
        <v>118.0000</v>
      </c>
      <c r="H58" s="13">
        <v>118.0000</v>
      </c>
      <c r="I58" s="13">
        <v>118.0000</v>
      </c>
      <c r="J58" s="13">
        <v>118.0000</v>
      </c>
      <c r="K58" s="13">
        <v>118.0000</v>
      </c>
      <c r="L58" s="13">
        <v>118.0000</v>
      </c>
      <c r="M58" s="13">
        <v>118.0000</v>
      </c>
      <c r="N58" s="13">
        <v>118.0000</v>
      </c>
      <c r="O58" s="13">
        <v>118.0000</v>
      </c>
      <c r="P58" s="13">
        <v>118.0000</v>
      </c>
      <c r="Q58" s="13">
        <v>118.0000</v>
      </c>
    </row>
    <row r="59" ht="10.95" customHeight="true" customFormat="true" s="9">
      <c r="A59" s="12" t="s">
        <v>69</v>
      </c>
      <c r="B59" s="13">
        <v>0</v>
      </c>
      <c r="C59" s="13">
        <v>0</v>
      </c>
      <c r="D59" s="13">
        <v>35000.0000</v>
      </c>
      <c r="E59" s="13">
        <v>35000.0000</v>
      </c>
      <c r="F59" s="13">
        <v>35000.0000</v>
      </c>
      <c r="G59" s="13">
        <v>35000.0000</v>
      </c>
      <c r="H59" s="13">
        <v>35000.0000</v>
      </c>
      <c r="I59" s="13">
        <v>35000.0000</v>
      </c>
      <c r="J59" s="13">
        <v>35000.0000</v>
      </c>
      <c r="K59" s="13">
        <v>35000.0000</v>
      </c>
      <c r="L59" s="13">
        <v>35000.0000</v>
      </c>
      <c r="M59" s="13">
        <v>35000.0000</v>
      </c>
      <c r="N59" s="13">
        <v>35000.0000</v>
      </c>
      <c r="O59" s="13">
        <v>35000.0000</v>
      </c>
      <c r="P59" s="13">
        <v>35000.0000</v>
      </c>
      <c r="Q59" s="13">
        <v>35000.0000</v>
      </c>
    </row>
    <row r="60" ht="10.95" customHeight="true" customFormat="true" s="9">
      <c r="A60" s="12" t="s">
        <v>70</v>
      </c>
      <c r="B60" s="13">
        <v>0</v>
      </c>
      <c r="C60" s="13">
        <v>0</v>
      </c>
      <c r="D60" s="13">
        <v>350.0000</v>
      </c>
      <c r="E60" s="13">
        <v>350.0000</v>
      </c>
      <c r="F60" s="13">
        <v>350.0000</v>
      </c>
      <c r="G60" s="13">
        <v>350.0000</v>
      </c>
      <c r="H60" s="13">
        <v>350.0000</v>
      </c>
      <c r="I60" s="13">
        <v>350.0000</v>
      </c>
      <c r="J60" s="13">
        <v>350.0000</v>
      </c>
      <c r="K60" s="13">
        <v>350.0000</v>
      </c>
      <c r="L60" s="13">
        <v>350.0000</v>
      </c>
      <c r="M60" s="13">
        <v>350.0000</v>
      </c>
      <c r="N60" s="13">
        <v>350.0000</v>
      </c>
      <c r="O60" s="13">
        <v>350.0000</v>
      </c>
      <c r="P60" s="13">
        <v>350.0000</v>
      </c>
      <c r="Q60" s="13">
        <v>350.0000</v>
      </c>
    </row>
    <row r="61" ht="10.95" customHeight="true" customFormat="true" s="9">
      <c r="A61" s="12" t="s">
        <v>71</v>
      </c>
      <c r="B61" s="13">
        <v>0</v>
      </c>
      <c r="C61" s="13">
        <v>0</v>
      </c>
      <c r="D61" s="13">
        <v>177.1200</v>
      </c>
      <c r="E61" s="13">
        <v>177.1200</v>
      </c>
      <c r="F61" s="13">
        <v>177.1200</v>
      </c>
      <c r="G61" s="13">
        <v>177.1200</v>
      </c>
      <c r="H61" s="13">
        <v>177.1200</v>
      </c>
      <c r="I61" s="13">
        <v>177.1200</v>
      </c>
      <c r="J61" s="13">
        <v>177.1200</v>
      </c>
      <c r="K61" s="13">
        <v>177.1200</v>
      </c>
      <c r="L61" s="13">
        <v>177.1200</v>
      </c>
      <c r="M61" s="13">
        <v>177.1200</v>
      </c>
      <c r="N61" s="13">
        <v>177.1200</v>
      </c>
      <c r="O61" s="13">
        <v>177.1200</v>
      </c>
      <c r="P61" s="13">
        <v>177.1200</v>
      </c>
      <c r="Q61" s="13">
        <v>177.1200</v>
      </c>
    </row>
    <row r="62" ht="10.95" customHeight="true" customFormat="true" s="9">
      <c r="A62" s="12" t="s">
        <v>72</v>
      </c>
      <c r="B62" s="13">
        <v>2340.0000</v>
      </c>
      <c r="C62" s="13">
        <v>11150.5000</v>
      </c>
      <c r="D62" s="13">
        <v>11381.5000</v>
      </c>
      <c r="E62" s="13">
        <v>15869.0000</v>
      </c>
      <c r="F62" s="13">
        <v>4341.0000</v>
      </c>
      <c r="G62" s="13">
        <v>8601.7000</v>
      </c>
      <c r="H62" s="13">
        <v>11306.0000</v>
      </c>
      <c r="I62" s="13">
        <v>16406.4000</v>
      </c>
      <c r="J62" s="13">
        <v>5910.5000</v>
      </c>
      <c r="K62" s="13">
        <v>5089.5000</v>
      </c>
      <c r="L62" s="13">
        <v>5302.0000</v>
      </c>
      <c r="M62" s="13">
        <v>4568.5000</v>
      </c>
      <c r="N62" s="13">
        <v>2636.5000</v>
      </c>
      <c r="O62" s="13">
        <v>8541.0000</v>
      </c>
      <c r="P62" s="13">
        <v>0</v>
      </c>
      <c r="Q62" s="13">
        <v>5038.0000</v>
      </c>
    </row>
    <row r="63" ht="10.95" customHeight="true" customFormat="true" s="9">
      <c r="A63" s="12" t="s">
        <v>73</v>
      </c>
      <c r="B63" s="13">
        <v>0</v>
      </c>
      <c r="C63" s="13">
        <v>12500.0000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</row>
    <row r="64" ht="10.95" customHeight="true" customFormat="true" s="9">
      <c r="A64" s="12" t="s">
        <v>74</v>
      </c>
      <c r="B64" s="13">
        <v>0</v>
      </c>
      <c r="C64" s="13">
        <v>0</v>
      </c>
      <c r="D64" s="13">
        <v>10271.2300</v>
      </c>
      <c r="E64" s="13">
        <v>6161.9200</v>
      </c>
      <c r="F64" s="13">
        <v>7604.7400</v>
      </c>
      <c r="G64" s="13">
        <v>6176.0000</v>
      </c>
      <c r="H64" s="13">
        <v>63.2400</v>
      </c>
      <c r="I64" s="13">
        <v>65.1000</v>
      </c>
      <c r="J64" s="13">
        <v>2805.1900</v>
      </c>
      <c r="K64" s="13">
        <v>2004.6200</v>
      </c>
      <c r="L64" s="13">
        <v>212.4900</v>
      </c>
      <c r="M64" s="13">
        <v>560.9300</v>
      </c>
      <c r="N64" s="13">
        <v>1284.0400</v>
      </c>
      <c r="O64" s="13">
        <v>2872.6600</v>
      </c>
      <c r="P64" s="13">
        <v>2917.7600</v>
      </c>
      <c r="Q64" s="13">
        <v>83.3700</v>
      </c>
    </row>
    <row r="65" ht="10.95" customHeight="true" customFormat="true" s="9">
      <c r="A65" s="12" t="s">
        <v>75</v>
      </c>
      <c r="B65" s="13">
        <v>0</v>
      </c>
      <c r="C65" s="13">
        <v>0</v>
      </c>
      <c r="D65" s="13">
        <v>2.7200</v>
      </c>
      <c r="E65" s="13">
        <v>0</v>
      </c>
      <c r="F65" s="13">
        <v>2.7400</v>
      </c>
      <c r="G65" s="13">
        <v>2.1700</v>
      </c>
      <c r="H65" s="13">
        <v>4.8900</v>
      </c>
      <c r="I65" s="13">
        <v>0</v>
      </c>
      <c r="J65" s="13">
        <v>0.0800</v>
      </c>
      <c r="K65" s="13">
        <v>61.7400</v>
      </c>
      <c r="L65" s="13">
        <v>0</v>
      </c>
      <c r="M65" s="13">
        <v>190.4600</v>
      </c>
      <c r="N65" s="13">
        <v>188.8700</v>
      </c>
      <c r="O65" s="13">
        <v>276.3000</v>
      </c>
      <c r="P65" s="13">
        <v>189.4600</v>
      </c>
      <c r="Q65" s="13">
        <v>21953.8500</v>
      </c>
    </row>
    <row r="66" ht="10.95" customHeight="true" customFormat="true" s="9">
      <c r="A66" s="12" t="s">
        <v>76</v>
      </c>
      <c r="B66" s="13">
        <v>1640.1000</v>
      </c>
      <c r="C66" s="13">
        <v>3980.5000</v>
      </c>
      <c r="D66" s="13">
        <v>4320.7600</v>
      </c>
      <c r="E66" s="13">
        <v>5221.9400</v>
      </c>
      <c r="F66" s="13">
        <v>5550.9700</v>
      </c>
      <c r="G66" s="13">
        <v>10158.7300</v>
      </c>
      <c r="H66" s="13">
        <v>3194.1400</v>
      </c>
      <c r="I66" s="13">
        <v>4181.3400</v>
      </c>
      <c r="J66" s="13">
        <v>2287.5400</v>
      </c>
      <c r="K66" s="13">
        <v>12236.9100</v>
      </c>
      <c r="L66" s="13">
        <v>4715.9600</v>
      </c>
      <c r="M66" s="13">
        <v>3666.4500</v>
      </c>
      <c r="N66" s="13">
        <v>7593.8100</v>
      </c>
      <c r="O66" s="13">
        <v>3210.1400</v>
      </c>
      <c r="P66" s="13">
        <v>1000.0000</v>
      </c>
      <c r="Q66" s="13">
        <v>5213.4900</v>
      </c>
    </row>
    <row r="67" ht="10.95" customHeight="true" customFormat="true" s="9">
      <c r="A67" s="12" t="s">
        <v>77</v>
      </c>
      <c r="B67" s="13">
        <v>35000.0000</v>
      </c>
      <c r="C67" s="13">
        <v>20500.0000</v>
      </c>
      <c r="D67" s="13">
        <v>0</v>
      </c>
      <c r="E67" s="13">
        <v>0</v>
      </c>
      <c r="F67" s="13">
        <v>0</v>
      </c>
      <c r="G67" s="13">
        <v>48951.0000</v>
      </c>
      <c r="H67" s="13">
        <v>0</v>
      </c>
      <c r="I67" s="13">
        <v>0</v>
      </c>
      <c r="J67" s="13">
        <v>-5903.9100</v>
      </c>
      <c r="K67" s="13">
        <v>14284.8000</v>
      </c>
      <c r="L67" s="13">
        <v>0</v>
      </c>
      <c r="M67" s="13">
        <v>16847.5000</v>
      </c>
      <c r="N67" s="13">
        <v>12291.0000</v>
      </c>
      <c r="O67" s="13">
        <v>0</v>
      </c>
      <c r="P67" s="13">
        <v>0</v>
      </c>
      <c r="Q67" s="13">
        <v>0</v>
      </c>
    </row>
    <row r="68" ht="10.95" customHeight="true" customFormat="true" s="9">
      <c r="A68" s="12" t="s">
        <v>78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-65360.0000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</row>
    <row r="69" ht="10.95" customHeight="true" customFormat="true" s="9">
      <c r="A69" s="12" t="s">
        <v>79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150214.5200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</row>
    <row r="70" ht="10.95" customHeight="true" customFormat="true" s="9">
      <c r="A70" s="12" t="s">
        <v>80</v>
      </c>
      <c r="B70" s="13">
        <v>0</v>
      </c>
      <c r="C70" s="13">
        <v>12550.8200</v>
      </c>
      <c r="D70" s="13">
        <v>25101.6400</v>
      </c>
      <c r="E70" s="13">
        <v>12550.8200</v>
      </c>
      <c r="F70" s="13">
        <v>12717.0500</v>
      </c>
      <c r="G70" s="13">
        <v>12403.5900</v>
      </c>
      <c r="H70" s="13">
        <v>12403.5900</v>
      </c>
      <c r="I70" s="13">
        <v>12403.5900</v>
      </c>
      <c r="J70" s="13">
        <v>0</v>
      </c>
      <c r="K70" s="13">
        <v>11267.0300</v>
      </c>
      <c r="L70" s="13">
        <v>22534.0600</v>
      </c>
      <c r="M70" s="13">
        <v>11136.2800</v>
      </c>
      <c r="N70" s="13">
        <v>11633.1400</v>
      </c>
      <c r="O70" s="13">
        <v>0</v>
      </c>
      <c r="P70" s="13">
        <v>11633.1400</v>
      </c>
      <c r="Q70" s="13">
        <v>23266.2800</v>
      </c>
    </row>
    <row r="71" ht="10.95" customHeight="true" customFormat="true" s="9">
      <c r="A71" s="12" t="s">
        <v>81</v>
      </c>
      <c r="B71" s="13">
        <v>0</v>
      </c>
      <c r="C71" s="13">
        <v>0</v>
      </c>
      <c r="D71" s="13">
        <v>0</v>
      </c>
      <c r="E71" s="13">
        <v>2.1900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</row>
    <row r="72" ht="10.95" customHeight="true" customFormat="true" s="9">
      <c r="A72" s="12" t="s">
        <v>82</v>
      </c>
      <c r="B72" s="13">
        <v>0</v>
      </c>
      <c r="C72" s="13">
        <v>0</v>
      </c>
      <c r="D72" s="13">
        <v>0</v>
      </c>
      <c r="E72" s="13">
        <v>0</v>
      </c>
      <c r="F72" s="13">
        <v>18850.0000</v>
      </c>
      <c r="G72" s="13">
        <v>0</v>
      </c>
      <c r="H72" s="13">
        <v>17250.0000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6287.2200</v>
      </c>
      <c r="O72" s="13">
        <v>0</v>
      </c>
      <c r="P72" s="13">
        <v>0</v>
      </c>
      <c r="Q72" s="13">
        <v>0</v>
      </c>
    </row>
    <row r="73" ht="10.95" customHeight="true" customFormat="true" s="9">
      <c r="A73" s="12" t="s">
        <v>83</v>
      </c>
      <c r="B73" s="13">
        <v>55000.0000</v>
      </c>
      <c r="C73" s="13">
        <v>55000.0000</v>
      </c>
      <c r="D73" s="13">
        <v>55000.0000</v>
      </c>
      <c r="E73" s="13">
        <v>55000.0000</v>
      </c>
      <c r="F73" s="13">
        <v>55000.0000</v>
      </c>
      <c r="G73" s="13">
        <v>55000.0000</v>
      </c>
      <c r="H73" s="13">
        <v>55000.0000</v>
      </c>
      <c r="I73" s="13">
        <v>55000.0000</v>
      </c>
      <c r="J73" s="13">
        <v>55000.0000</v>
      </c>
      <c r="K73" s="13">
        <v>55000.0000</v>
      </c>
      <c r="L73" s="13">
        <v>55000.0000</v>
      </c>
      <c r="M73" s="13">
        <v>55000.0000</v>
      </c>
      <c r="N73" s="13">
        <v>55000.0000</v>
      </c>
      <c r="O73" s="13">
        <v>55000.0000</v>
      </c>
      <c r="P73" s="13">
        <v>55000.0000</v>
      </c>
      <c r="Q73" s="13">
        <v>55000.0000</v>
      </c>
    </row>
    <row r="74" ht="10.95" customHeight="true" customFormat="true" s="9">
      <c r="A74" s="12" t="s">
        <v>84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11426.1900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</row>
    <row r="75" ht="10.95" customHeight="true" customFormat="true" s="9">
      <c r="A75" s="12" t="s">
        <v>85</v>
      </c>
      <c r="B75" s="13">
        <v>0</v>
      </c>
      <c r="C75" s="13">
        <v>0</v>
      </c>
      <c r="D75" s="13">
        <v>15525.0000</v>
      </c>
      <c r="E75" s="13">
        <v>15525.0000</v>
      </c>
      <c r="F75" s="13">
        <v>15525.0000</v>
      </c>
      <c r="G75" s="13">
        <v>13800.0000</v>
      </c>
      <c r="H75" s="13">
        <v>13800.0000</v>
      </c>
      <c r="I75" s="13">
        <v>13800.0000</v>
      </c>
      <c r="J75" s="13">
        <v>8232.6000</v>
      </c>
      <c r="K75" s="13">
        <v>13800.0000</v>
      </c>
      <c r="L75" s="13">
        <v>13800.0000</v>
      </c>
      <c r="M75" s="13">
        <v>13800.0000</v>
      </c>
      <c r="N75" s="13">
        <v>13800.0000</v>
      </c>
      <c r="O75" s="13">
        <v>13800.0000</v>
      </c>
      <c r="P75" s="13">
        <v>13800.0000</v>
      </c>
      <c r="Q75" s="13">
        <v>13800.0000</v>
      </c>
    </row>
    <row r="76" ht="10.95" customHeight="true" customFormat="true" s="9">
      <c r="A76" s="12" t="s">
        <v>86</v>
      </c>
      <c r="B76" s="13">
        <v>0</v>
      </c>
      <c r="C76" s="13">
        <v>0</v>
      </c>
      <c r="D76" s="13">
        <v>0</v>
      </c>
      <c r="E76" s="13">
        <v>5497.0000</v>
      </c>
      <c r="F76" s="13">
        <v>14145.0000</v>
      </c>
      <c r="G76" s="13">
        <v>23246.1000</v>
      </c>
      <c r="H76" s="13">
        <v>0</v>
      </c>
      <c r="I76" s="13">
        <v>74.7500</v>
      </c>
      <c r="J76" s="13">
        <v>-2184.7900</v>
      </c>
      <c r="K76" s="13">
        <v>4065.8300</v>
      </c>
      <c r="L76" s="13">
        <v>40.2500</v>
      </c>
      <c r="M76" s="13">
        <v>433.5500</v>
      </c>
      <c r="N76" s="13">
        <v>20767.2800</v>
      </c>
      <c r="O76" s="13">
        <v>1186.8000</v>
      </c>
      <c r="P76" s="13">
        <v>0</v>
      </c>
      <c r="Q76" s="13">
        <v>16317.3500</v>
      </c>
    </row>
    <row r="77" ht="10.95" customHeight="true" customFormat="true" s="9">
      <c r="A77" s="12" t="s">
        <v>87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-2675.4500</v>
      </c>
      <c r="K77" s="13">
        <v>0</v>
      </c>
      <c r="L77" s="13">
        <v>0</v>
      </c>
      <c r="M77" s="13">
        <v>79580.0000</v>
      </c>
      <c r="N77" s="13">
        <v>0</v>
      </c>
      <c r="O77" s="13">
        <v>0</v>
      </c>
      <c r="P77" s="13">
        <v>0</v>
      </c>
      <c r="Q77" s="13">
        <v>0</v>
      </c>
    </row>
    <row r="78" ht="10.95" customHeight="true" customFormat="true" s="9">
      <c r="A78" s="12" t="s">
        <v>88</v>
      </c>
      <c r="B78" s="13">
        <v>0</v>
      </c>
      <c r="C78" s="13">
        <v>0</v>
      </c>
      <c r="D78" s="13">
        <v>4600.0000</v>
      </c>
      <c r="E78" s="13">
        <v>0</v>
      </c>
      <c r="F78" s="13">
        <v>0</v>
      </c>
      <c r="G78" s="13">
        <v>0</v>
      </c>
      <c r="H78" s="13">
        <v>5658.0000</v>
      </c>
      <c r="I78" s="13">
        <v>0</v>
      </c>
      <c r="J78" s="13">
        <v>-1294.2300</v>
      </c>
      <c r="K78" s="13">
        <v>14720.0000</v>
      </c>
      <c r="L78" s="13">
        <v>0</v>
      </c>
      <c r="M78" s="13">
        <v>0</v>
      </c>
      <c r="N78" s="13">
        <v>8050.0000</v>
      </c>
      <c r="O78" s="13">
        <v>0</v>
      </c>
      <c r="P78" s="13">
        <v>0</v>
      </c>
      <c r="Q78" s="13">
        <v>0</v>
      </c>
    </row>
    <row r="79" ht="10.95" customHeight="true" customFormat="true" s="9">
      <c r="A79" s="12" t="s">
        <v>89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-57.9900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1725.0000</v>
      </c>
    </row>
    <row r="80" ht="10.95" customHeight="true" customFormat="true" s="9">
      <c r="A80" s="12" t="s">
        <v>90</v>
      </c>
      <c r="B80" s="13">
        <v>0</v>
      </c>
      <c r="C80" s="13">
        <v>8361.1200</v>
      </c>
      <c r="D80" s="13">
        <v>4999.4400</v>
      </c>
      <c r="E80" s="13">
        <v>2543.5400</v>
      </c>
      <c r="F80" s="13">
        <v>1788.2700</v>
      </c>
      <c r="G80" s="13">
        <v>4140.3400</v>
      </c>
      <c r="H80" s="13">
        <v>4201.8900</v>
      </c>
      <c r="I80" s="13">
        <v>3064.7600</v>
      </c>
      <c r="J80" s="13">
        <v>9836.6100</v>
      </c>
      <c r="K80" s="13">
        <v>7953.5400</v>
      </c>
      <c r="L80" s="13">
        <v>7902.5300</v>
      </c>
      <c r="M80" s="13">
        <v>6389.2600</v>
      </c>
      <c r="N80" s="13">
        <v>5390.3300</v>
      </c>
      <c r="O80" s="13">
        <v>3966.3400</v>
      </c>
      <c r="P80" s="13">
        <v>3664.5400</v>
      </c>
      <c r="Q80" s="13">
        <v>3256.4600</v>
      </c>
    </row>
    <row r="81" ht="10.95" customHeight="true" customFormat="true" s="9">
      <c r="A81" s="12" t="s">
        <v>91</v>
      </c>
      <c r="B81" s="13">
        <v>0</v>
      </c>
      <c r="C81" s="13">
        <v>5209.1300</v>
      </c>
      <c r="D81" s="13">
        <v>5209.1300</v>
      </c>
      <c r="E81" s="13">
        <v>5209.1300</v>
      </c>
      <c r="F81" s="13">
        <v>5209.1300</v>
      </c>
      <c r="G81" s="13">
        <v>5209.1300</v>
      </c>
      <c r="H81" s="13">
        <v>5209.1300</v>
      </c>
      <c r="I81" s="13">
        <v>5209.1300</v>
      </c>
      <c r="J81" s="13">
        <v>4793.9500</v>
      </c>
      <c r="K81" s="13">
        <v>4793.9500</v>
      </c>
      <c r="L81" s="13">
        <v>4793.9500</v>
      </c>
      <c r="M81" s="13">
        <v>4793.9500</v>
      </c>
      <c r="N81" s="13">
        <v>4793.9500</v>
      </c>
      <c r="O81" s="13">
        <v>4793.9500</v>
      </c>
      <c r="P81" s="13">
        <v>4793.9500</v>
      </c>
      <c r="Q81" s="13">
        <v>4793.9500</v>
      </c>
    </row>
    <row r="82" ht="10.95" customHeight="true" customFormat="true" s="9">
      <c r="A82" s="12" t="s">
        <v>92</v>
      </c>
      <c r="B82" s="13">
        <v>0</v>
      </c>
      <c r="C82" s="13">
        <v>1722.7800</v>
      </c>
      <c r="D82" s="13">
        <v>2005.2400</v>
      </c>
      <c r="E82" s="13">
        <v>414.7500</v>
      </c>
      <c r="F82" s="13">
        <v>523.3900</v>
      </c>
      <c r="G82" s="13">
        <v>523.3900</v>
      </c>
      <c r="H82" s="13">
        <v>462.3900</v>
      </c>
      <c r="I82" s="13">
        <v>374.8300</v>
      </c>
      <c r="J82" s="13">
        <v>1002.8500</v>
      </c>
      <c r="K82" s="13">
        <v>1169.6300</v>
      </c>
      <c r="L82" s="13">
        <v>1280.8100</v>
      </c>
      <c r="M82" s="13">
        <v>533.7200</v>
      </c>
      <c r="N82" s="13">
        <v>1336.4000</v>
      </c>
      <c r="O82" s="13">
        <v>1058.4500</v>
      </c>
      <c r="P82" s="13">
        <v>453.7300</v>
      </c>
      <c r="Q82" s="13">
        <v>346.2500</v>
      </c>
    </row>
    <row r="83" ht="10.95" customHeight="true" customFormat="true" s="9">
      <c r="A83" s="12" t="s">
        <v>93</v>
      </c>
      <c r="B83" s="13">
        <v>0</v>
      </c>
      <c r="C83" s="13">
        <v>4112.3300</v>
      </c>
      <c r="D83" s="13">
        <v>5541.0400</v>
      </c>
      <c r="E83" s="13">
        <v>5956.5800</v>
      </c>
      <c r="F83" s="13">
        <v>6811.0100</v>
      </c>
      <c r="G83" s="13">
        <v>6717.6300</v>
      </c>
      <c r="H83" s="13">
        <v>3556.9600</v>
      </c>
      <c r="I83" s="13">
        <v>2996.7500</v>
      </c>
      <c r="J83" s="13">
        <v>4582.7000</v>
      </c>
      <c r="K83" s="13">
        <v>4255.3900</v>
      </c>
      <c r="L83" s="13">
        <v>337.4300</v>
      </c>
      <c r="M83" s="13">
        <v>5016.2700</v>
      </c>
      <c r="N83" s="13">
        <v>43.8400</v>
      </c>
      <c r="O83" s="13">
        <v>4697.4700</v>
      </c>
      <c r="P83" s="13">
        <v>5041.7800</v>
      </c>
      <c r="Q83" s="13">
        <v>6197.9800</v>
      </c>
    </row>
    <row r="84" ht="10.95" customHeight="true" customFormat="true" s="9">
      <c r="A84" s="12" t="s">
        <v>94</v>
      </c>
      <c r="B84" s="13">
        <v>0</v>
      </c>
      <c r="C84" s="13">
        <v>10921.9300</v>
      </c>
      <c r="D84" s="13">
        <v>10921.9300</v>
      </c>
      <c r="E84" s="13">
        <v>10921.9300</v>
      </c>
      <c r="F84" s="13">
        <v>11499.0100</v>
      </c>
      <c r="G84" s="13">
        <v>14082.0900</v>
      </c>
      <c r="H84" s="13">
        <v>10921.9300</v>
      </c>
      <c r="I84" s="13">
        <v>14839.6000</v>
      </c>
      <c r="J84" s="13">
        <v>13187.0400</v>
      </c>
      <c r="K84" s="13">
        <v>10575.2600</v>
      </c>
      <c r="L84" s="13">
        <v>7300.4100</v>
      </c>
      <c r="M84" s="13">
        <v>12957.1300</v>
      </c>
      <c r="N84" s="13">
        <v>16426.2600</v>
      </c>
      <c r="O84" s="13">
        <v>11846.3000</v>
      </c>
      <c r="P84" s="13">
        <v>13143.5600</v>
      </c>
      <c r="Q84" s="13">
        <v>13110.6000</v>
      </c>
    </row>
    <row r="85" ht="10.95" customHeight="true" customFormat="true" s="9">
      <c r="A85" s="12" t="s">
        <v>95</v>
      </c>
      <c r="B85" s="13">
        <v>0</v>
      </c>
      <c r="C85" s="13">
        <v>2165.3200</v>
      </c>
      <c r="D85" s="13">
        <v>1510.6800</v>
      </c>
      <c r="E85" s="13">
        <v>1642.4200</v>
      </c>
      <c r="F85" s="13">
        <v>1272.9300</v>
      </c>
      <c r="G85" s="13">
        <v>2067.0300</v>
      </c>
      <c r="H85" s="13">
        <v>1013.3900</v>
      </c>
      <c r="I85" s="13">
        <v>1101.8000</v>
      </c>
      <c r="J85" s="13">
        <v>1739.7100</v>
      </c>
      <c r="K85" s="13">
        <v>1228.6000</v>
      </c>
      <c r="L85" s="13">
        <v>1803.9200</v>
      </c>
      <c r="M85" s="13">
        <v>842.8900</v>
      </c>
      <c r="N85" s="13">
        <v>541.8200</v>
      </c>
      <c r="O85" s="13">
        <v>951.0000</v>
      </c>
      <c r="P85" s="13">
        <v>2035.0400</v>
      </c>
      <c r="Q85" s="13">
        <v>2587.2500</v>
      </c>
    </row>
    <row r="86" ht="10.95" customHeight="true" customFormat="true" s="9">
      <c r="A86" s="12" t="s">
        <v>96</v>
      </c>
      <c r="B86" s="13">
        <v>0</v>
      </c>
      <c r="C86" s="13">
        <v>0</v>
      </c>
      <c r="D86" s="13">
        <v>0</v>
      </c>
      <c r="E86" s="13">
        <v>0</v>
      </c>
      <c r="F86" s="13">
        <v>2381.3200</v>
      </c>
      <c r="G86" s="13">
        <v>4762.6400</v>
      </c>
      <c r="H86" s="13">
        <v>4762.6400</v>
      </c>
      <c r="I86" s="13">
        <v>4629.8600</v>
      </c>
      <c r="J86" s="13">
        <v>2248.5400</v>
      </c>
      <c r="K86" s="13">
        <v>2248.5100</v>
      </c>
      <c r="L86" s="13">
        <v>2248.5100</v>
      </c>
      <c r="M86" s="13">
        <v>2248.5100</v>
      </c>
      <c r="N86" s="13">
        <v>0</v>
      </c>
      <c r="O86" s="13">
        <v>2248.5100</v>
      </c>
      <c r="P86" s="13">
        <v>2248.5100</v>
      </c>
      <c r="Q86" s="13">
        <v>2248.5100</v>
      </c>
    </row>
    <row r="87" ht="10.95" customHeight="true" customFormat="true" s="9">
      <c r="A87" s="12" t="s">
        <v>97</v>
      </c>
      <c r="B87" s="13">
        <v>0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1400.0000</v>
      </c>
      <c r="N87" s="13">
        <v>0</v>
      </c>
      <c r="O87" s="13">
        <v>0</v>
      </c>
      <c r="P87" s="13">
        <v>0</v>
      </c>
      <c r="Q87" s="13">
        <v>0</v>
      </c>
    </row>
    <row r="88" ht="10.95" customHeight="true" customFormat="true" s="9">
      <c r="A88" s="12" t="s">
        <v>98</v>
      </c>
      <c r="B88" s="13">
        <v>0</v>
      </c>
      <c r="C88" s="13">
        <v>5443.3400</v>
      </c>
      <c r="D88" s="13">
        <v>5443.3400</v>
      </c>
      <c r="E88" s="13">
        <v>10886.6800</v>
      </c>
      <c r="F88" s="13">
        <v>0</v>
      </c>
      <c r="G88" s="13">
        <v>5443.3400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</row>
    <row r="89" ht="10.95" customHeight="true" customFormat="true" s="9">
      <c r="A89" s="12" t="s">
        <v>99</v>
      </c>
      <c r="B89" s="13">
        <v>0</v>
      </c>
      <c r="C89" s="13">
        <v>0</v>
      </c>
      <c r="D89" s="13">
        <v>0</v>
      </c>
      <c r="E89" s="13">
        <v>210.5000</v>
      </c>
      <c r="F89" s="13">
        <v>0</v>
      </c>
      <c r="G89" s="13">
        <v>0</v>
      </c>
      <c r="H89" s="13">
        <v>0</v>
      </c>
      <c r="I89" s="13">
        <v>0</v>
      </c>
      <c r="J89" s="13">
        <v>1050.0000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</row>
    <row r="90" ht="10.95" customHeight="true" customFormat="true" s="9">
      <c r="A90" s="12" t="s">
        <v>100</v>
      </c>
      <c r="B90" s="13">
        <v>1166.2100</v>
      </c>
      <c r="C90" s="13">
        <v>5827.8000</v>
      </c>
      <c r="D90" s="13">
        <v>5982.0700</v>
      </c>
      <c r="E90" s="13">
        <v>1999.4500</v>
      </c>
      <c r="F90" s="13">
        <v>4947.6600</v>
      </c>
      <c r="G90" s="13">
        <v>16002.2600</v>
      </c>
      <c r="H90" s="13">
        <v>5032.1700</v>
      </c>
      <c r="I90" s="13">
        <v>19449.0400</v>
      </c>
      <c r="J90" s="13">
        <v>5596.6100</v>
      </c>
      <c r="K90" s="13">
        <v>12829.1800</v>
      </c>
      <c r="L90" s="13">
        <v>19973.4300</v>
      </c>
      <c r="M90" s="13">
        <v>5755.3800</v>
      </c>
      <c r="N90" s="13">
        <v>8773.8000</v>
      </c>
      <c r="O90" s="13">
        <v>4475.5000</v>
      </c>
      <c r="P90" s="13">
        <v>885.2900</v>
      </c>
      <c r="Q90" s="13">
        <v>6021.1100</v>
      </c>
    </row>
    <row r="91" ht="10.95" customHeight="true" customFormat="true" s="9">
      <c r="A91" s="12" t="s">
        <v>101</v>
      </c>
      <c r="B91" s="13">
        <v>0</v>
      </c>
      <c r="C91" s="13">
        <v>0</v>
      </c>
      <c r="D91" s="13">
        <v>0</v>
      </c>
      <c r="E91" s="13">
        <v>0</v>
      </c>
      <c r="F91" s="13">
        <v>1306.6600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</row>
    <row r="92" ht="10.95" customHeight="true" customFormat="true" s="9">
      <c r="A92" s="12" t="s">
        <v>102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2227.6000</v>
      </c>
      <c r="M92" s="13">
        <v>541.4300</v>
      </c>
      <c r="N92" s="13">
        <v>0</v>
      </c>
      <c r="O92" s="13">
        <v>207.9800</v>
      </c>
      <c r="P92" s="13">
        <v>0</v>
      </c>
      <c r="Q92" s="13">
        <v>0</v>
      </c>
    </row>
    <row r="93" ht="10.95" customHeight="true" customFormat="true" s="9">
      <c r="A93" s="12" t="s">
        <v>103</v>
      </c>
      <c r="B93" s="13">
        <v>0</v>
      </c>
      <c r="C93" s="13">
        <v>0</v>
      </c>
      <c r="D93" s="13">
        <v>0</v>
      </c>
      <c r="E93" s="13">
        <v>0</v>
      </c>
      <c r="F93" s="13">
        <v>2478.0000</v>
      </c>
      <c r="G93" s="13">
        <v>0</v>
      </c>
      <c r="H93" s="13">
        <v>13500.0000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650.0000</v>
      </c>
      <c r="Q93" s="13">
        <v>2330.0000</v>
      </c>
    </row>
    <row r="94" ht="10.95" customHeight="true" customFormat="true" s="9">
      <c r="A94" s="12" t="s">
        <v>104</v>
      </c>
      <c r="B94" s="13">
        <v>0</v>
      </c>
      <c r="C94" s="13">
        <v>44142.0000</v>
      </c>
      <c r="D94" s="13">
        <v>8920.0000</v>
      </c>
      <c r="E94" s="13">
        <v>12220.0000</v>
      </c>
      <c r="F94" s="13">
        <v>7500.0000</v>
      </c>
      <c r="G94" s="13">
        <v>7000.0000</v>
      </c>
      <c r="H94" s="13">
        <v>7500.0000</v>
      </c>
      <c r="I94" s="13">
        <v>6010.0000</v>
      </c>
      <c r="J94" s="13">
        <v>6000.0000</v>
      </c>
      <c r="K94" s="13">
        <v>7445.0000</v>
      </c>
      <c r="L94" s="13">
        <v>10745.0000</v>
      </c>
      <c r="M94" s="13">
        <v>7300.0000</v>
      </c>
      <c r="N94" s="13">
        <v>7460.0000</v>
      </c>
      <c r="O94" s="13">
        <v>7000.0000</v>
      </c>
      <c r="P94" s="13">
        <v>8500.0000</v>
      </c>
      <c r="Q94" s="13">
        <v>8750.0000</v>
      </c>
    </row>
    <row r="95" ht="10.95" customHeight="true" customFormat="true" s="9">
      <c r="A95" s="12" t="s">
        <v>105</v>
      </c>
      <c r="B95" s="13">
        <v>0</v>
      </c>
      <c r="C95" s="13">
        <v>2278.3300</v>
      </c>
      <c r="D95" s="13">
        <v>1072.9900</v>
      </c>
      <c r="E95" s="13">
        <v>2532.0300</v>
      </c>
      <c r="F95" s="13">
        <v>30.0000</v>
      </c>
      <c r="G95" s="13">
        <v>353.6000</v>
      </c>
      <c r="H95" s="13">
        <v>0</v>
      </c>
      <c r="I95" s="13">
        <v>1090.0000</v>
      </c>
      <c r="J95" s="13">
        <v>3364.0300</v>
      </c>
      <c r="K95" s="13">
        <v>0</v>
      </c>
      <c r="L95" s="13">
        <v>2672.5100</v>
      </c>
      <c r="M95" s="13">
        <v>1015.5000</v>
      </c>
      <c r="N95" s="13">
        <v>4645.0300</v>
      </c>
      <c r="O95" s="13">
        <v>0</v>
      </c>
      <c r="P95" s="13">
        <v>1374.0000</v>
      </c>
      <c r="Q95" s="13">
        <v>7016.2000</v>
      </c>
    </row>
    <row r="96" ht="10.95" customHeight="true" customFormat="true" s="9">
      <c r="A96" s="12" t="s">
        <v>106</v>
      </c>
      <c r="B96" s="13">
        <v>0</v>
      </c>
      <c r="C96" s="13">
        <v>0</v>
      </c>
      <c r="D96" s="13">
        <v>2605.8900</v>
      </c>
      <c r="E96" s="13">
        <v>903.9500</v>
      </c>
      <c r="F96" s="13">
        <v>2251.8300</v>
      </c>
      <c r="G96" s="13">
        <v>0</v>
      </c>
      <c r="H96" s="13">
        <v>0</v>
      </c>
      <c r="I96" s="13">
        <v>0</v>
      </c>
      <c r="J96" s="13">
        <v>0</v>
      </c>
      <c r="K96" s="13">
        <v>541.0000</v>
      </c>
      <c r="L96" s="13">
        <v>0</v>
      </c>
      <c r="M96" s="13">
        <v>762.0000</v>
      </c>
      <c r="N96" s="13">
        <v>290.9700</v>
      </c>
      <c r="O96" s="13">
        <v>1043.2000</v>
      </c>
      <c r="P96" s="13">
        <v>893.7500</v>
      </c>
      <c r="Q96" s="13">
        <v>3123.9000</v>
      </c>
    </row>
    <row r="97" ht="10.95" customHeight="true" customFormat="true" s="9">
      <c r="A97" s="12" t="s">
        <v>107</v>
      </c>
      <c r="B97" s="13">
        <v>0</v>
      </c>
      <c r="C97" s="13">
        <v>0</v>
      </c>
      <c r="D97" s="13">
        <v>0</v>
      </c>
      <c r="E97" s="13">
        <v>587.3900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196.0000</v>
      </c>
      <c r="L97" s="13">
        <v>0</v>
      </c>
      <c r="M97" s="13">
        <v>155.0000</v>
      </c>
      <c r="N97" s="13">
        <v>2143.0000</v>
      </c>
      <c r="O97" s="13">
        <v>0</v>
      </c>
      <c r="P97" s="13">
        <v>0</v>
      </c>
      <c r="Q97" s="13">
        <v>0</v>
      </c>
    </row>
    <row r="98" ht="10.95" customHeight="true" customFormat="true" s="9">
      <c r="A98" s="12" t="s">
        <v>108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2105.0000</v>
      </c>
      <c r="H98" s="13">
        <v>3550.0000</v>
      </c>
      <c r="I98" s="13">
        <v>0</v>
      </c>
      <c r="J98" s="13">
        <v>7015.0000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</row>
    <row r="99" ht="10.95" customHeight="true" customFormat="true" s="9">
      <c r="A99" s="12" t="s">
        <v>109</v>
      </c>
      <c r="B99" s="13">
        <v>0</v>
      </c>
      <c r="C99" s="13">
        <v>450.0000</v>
      </c>
      <c r="D99" s="13">
        <v>0</v>
      </c>
      <c r="E99" s="13">
        <v>1200.0000</v>
      </c>
      <c r="F99" s="13">
        <v>0</v>
      </c>
      <c r="G99" s="13">
        <v>0</v>
      </c>
      <c r="H99" s="13">
        <v>2037.0000</v>
      </c>
      <c r="I99" s="13">
        <v>10771.0000</v>
      </c>
      <c r="J99" s="13">
        <v>0</v>
      </c>
      <c r="K99" s="13">
        <v>0</v>
      </c>
      <c r="L99" s="13">
        <v>5721.0000</v>
      </c>
      <c r="M99" s="13">
        <v>905.0000</v>
      </c>
      <c r="N99" s="13">
        <v>0</v>
      </c>
      <c r="O99" s="13">
        <v>28066.0000</v>
      </c>
      <c r="P99" s="13">
        <v>0</v>
      </c>
      <c r="Q99" s="13">
        <v>27730.0000</v>
      </c>
    </row>
    <row r="100" ht="10.95" customHeight="true" customFormat="true" s="9">
      <c r="A100" s="12" t="s">
        <v>110</v>
      </c>
      <c r="B100" s="13">
        <v>0</v>
      </c>
      <c r="C100" s="13">
        <v>8356.3200</v>
      </c>
      <c r="D100" s="13">
        <v>7415.0000</v>
      </c>
      <c r="E100" s="13">
        <v>1190.0000</v>
      </c>
      <c r="F100" s="13">
        <v>0</v>
      </c>
      <c r="G100" s="13">
        <v>800.0000</v>
      </c>
      <c r="H100" s="13">
        <v>0</v>
      </c>
      <c r="I100" s="13">
        <v>0</v>
      </c>
      <c r="J100" s="13">
        <v>3720.1500</v>
      </c>
      <c r="K100" s="13">
        <v>15625.4500</v>
      </c>
      <c r="L100" s="13">
        <v>7968.0000</v>
      </c>
      <c r="M100" s="13">
        <v>350.0000</v>
      </c>
      <c r="N100" s="13">
        <v>0</v>
      </c>
      <c r="O100" s="13">
        <v>400.0000</v>
      </c>
      <c r="P100" s="13">
        <v>3400.0000</v>
      </c>
      <c r="Q100" s="13">
        <v>770.0000</v>
      </c>
    </row>
    <row r="101" ht="10.95" customHeight="true" customFormat="true" s="9">
      <c r="A101" s="12" t="s">
        <v>111</v>
      </c>
      <c r="B101" s="13">
        <v>0</v>
      </c>
      <c r="C101" s="13">
        <v>0</v>
      </c>
      <c r="D101" s="13">
        <v>0</v>
      </c>
      <c r="E101" s="13">
        <v>480.1300</v>
      </c>
      <c r="F101" s="13">
        <v>0</v>
      </c>
      <c r="G101" s="13">
        <v>0</v>
      </c>
      <c r="H101" s="13">
        <v>0</v>
      </c>
      <c r="I101" s="13">
        <v>26125.8800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</row>
    <row r="102" ht="10.95" customHeight="true" customFormat="true" s="9">
      <c r="A102" s="12" t="s">
        <v>112</v>
      </c>
      <c r="B102" s="13">
        <v>0</v>
      </c>
      <c r="C102" s="13">
        <v>2530.0000</v>
      </c>
      <c r="D102" s="13">
        <v>1755.0000</v>
      </c>
      <c r="E102" s="13">
        <v>130.0000</v>
      </c>
      <c r="F102" s="13">
        <v>1670.0000</v>
      </c>
      <c r="G102" s="13">
        <v>1740.0000</v>
      </c>
      <c r="H102" s="13">
        <v>485.0000</v>
      </c>
      <c r="I102" s="13">
        <v>4410.0000</v>
      </c>
      <c r="J102" s="13">
        <v>1750.0000</v>
      </c>
      <c r="K102" s="13">
        <v>1770.0000</v>
      </c>
      <c r="L102" s="13">
        <v>0</v>
      </c>
      <c r="M102" s="13">
        <v>1810.0000</v>
      </c>
      <c r="N102" s="13">
        <v>0</v>
      </c>
      <c r="O102" s="13">
        <v>2872.0000</v>
      </c>
      <c r="P102" s="13">
        <v>8954.0000</v>
      </c>
      <c r="Q102" s="13">
        <v>1700.0000</v>
      </c>
    </row>
    <row r="103" ht="10.95" customHeight="true" customFormat="true" s="9">
      <c r="A103" s="12" t="s">
        <v>113</v>
      </c>
      <c r="B103" s="13">
        <v>0</v>
      </c>
      <c r="C103" s="13">
        <v>11790.0000</v>
      </c>
      <c r="D103" s="13">
        <v>1491.0000</v>
      </c>
      <c r="E103" s="13">
        <v>2345.0000</v>
      </c>
      <c r="F103" s="13">
        <v>1869.0000</v>
      </c>
      <c r="G103" s="13">
        <v>0</v>
      </c>
      <c r="H103" s="13">
        <v>0</v>
      </c>
      <c r="I103" s="13">
        <v>3670.0000</v>
      </c>
      <c r="J103" s="13">
        <v>2815.0000</v>
      </c>
      <c r="K103" s="13">
        <v>16900.0000</v>
      </c>
      <c r="L103" s="13">
        <v>1935.0000</v>
      </c>
      <c r="M103" s="13">
        <v>6985.0000</v>
      </c>
      <c r="N103" s="13">
        <v>0</v>
      </c>
      <c r="O103" s="13">
        <v>8960.0000</v>
      </c>
      <c r="P103" s="13">
        <v>17430.0000</v>
      </c>
      <c r="Q103" s="13">
        <v>0</v>
      </c>
    </row>
    <row r="104" ht="10.95" customHeight="true" customFormat="true" s="9">
      <c r="A104" s="12" t="s">
        <v>114</v>
      </c>
      <c r="B104" s="13">
        <v>0</v>
      </c>
      <c r="C104" s="13">
        <v>6514.5000</v>
      </c>
      <c r="D104" s="13">
        <v>0</v>
      </c>
      <c r="E104" s="13">
        <v>839.5000</v>
      </c>
      <c r="F104" s="13">
        <v>0</v>
      </c>
      <c r="G104" s="13">
        <v>595.0000</v>
      </c>
      <c r="H104" s="13">
        <v>0</v>
      </c>
      <c r="I104" s="13">
        <v>0</v>
      </c>
      <c r="J104" s="13">
        <v>6280.0000</v>
      </c>
      <c r="K104" s="13">
        <v>0</v>
      </c>
      <c r="L104" s="13">
        <v>8760.0000</v>
      </c>
      <c r="M104" s="13">
        <v>11793.5800</v>
      </c>
      <c r="N104" s="13">
        <v>7221.2100</v>
      </c>
      <c r="O104" s="13">
        <v>2240.0000</v>
      </c>
      <c r="P104" s="13">
        <v>0</v>
      </c>
      <c r="Q104" s="13">
        <v>1550.0000</v>
      </c>
    </row>
    <row r="105" ht="10.95" customHeight="true" customFormat="true" s="9">
      <c r="A105" s="12" t="s">
        <v>115</v>
      </c>
      <c r="B105" s="13">
        <v>0</v>
      </c>
      <c r="C105" s="13">
        <v>0</v>
      </c>
      <c r="D105" s="13">
        <v>-1999.0000</v>
      </c>
      <c r="E105" s="13">
        <v>0</v>
      </c>
      <c r="F105" s="13">
        <v>250.0000</v>
      </c>
      <c r="G105" s="13">
        <v>1999.0000</v>
      </c>
      <c r="H105" s="13">
        <v>0</v>
      </c>
      <c r="I105" s="13">
        <v>27968.1900</v>
      </c>
      <c r="J105" s="13">
        <v>8565.2200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</row>
    <row r="106" ht="10.95" customHeight="true" customFormat="true" s="9">
      <c r="A106" s="12" t="s">
        <v>116</v>
      </c>
      <c r="B106" s="13">
        <v>197.8000</v>
      </c>
      <c r="C106" s="13">
        <v>283.0000</v>
      </c>
      <c r="D106" s="13">
        <v>0</v>
      </c>
      <c r="E106" s="13">
        <v>1828.5000</v>
      </c>
      <c r="F106" s="13">
        <v>0</v>
      </c>
      <c r="G106" s="13">
        <v>0</v>
      </c>
      <c r="H106" s="13">
        <v>0</v>
      </c>
      <c r="I106" s="13">
        <v>0</v>
      </c>
      <c r="J106" s="13">
        <v>177.0000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400.0000</v>
      </c>
      <c r="Q106" s="13">
        <v>574.0000</v>
      </c>
    </row>
    <row r="107" ht="10.95" customHeight="true" customFormat="true" s="9">
      <c r="A107" s="12" t="s">
        <v>117</v>
      </c>
      <c r="B107" s="13">
        <v>0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415.0000</v>
      </c>
    </row>
    <row r="108" ht="10.95" customHeight="true" customFormat="true" s="9">
      <c r="A108" s="12" t="s">
        <v>118</v>
      </c>
      <c r="B108" s="13">
        <v>0</v>
      </c>
      <c r="C108" s="13">
        <v>0</v>
      </c>
      <c r="D108" s="13">
        <v>2433.8000</v>
      </c>
      <c r="E108" s="13">
        <v>0</v>
      </c>
      <c r="F108" s="13">
        <v>3499.0000</v>
      </c>
      <c r="G108" s="13">
        <v>0</v>
      </c>
      <c r="H108" s="13">
        <v>2213.5000</v>
      </c>
      <c r="I108" s="13">
        <v>0</v>
      </c>
      <c r="J108" s="13">
        <v>1789.4500</v>
      </c>
      <c r="K108" s="13">
        <v>703.6000</v>
      </c>
      <c r="L108" s="13">
        <v>7787.7600</v>
      </c>
      <c r="M108" s="13">
        <v>3500.5000</v>
      </c>
      <c r="N108" s="13">
        <v>4103.9900</v>
      </c>
      <c r="O108" s="13">
        <v>1690.5000</v>
      </c>
      <c r="P108" s="13">
        <v>175.0000</v>
      </c>
      <c r="Q108" s="13">
        <v>812.7500</v>
      </c>
    </row>
    <row r="109" ht="10.95" customHeight="true" customFormat="true" s="9">
      <c r="A109" s="12" t="s">
        <v>119</v>
      </c>
      <c r="B109" s="13">
        <v>0</v>
      </c>
      <c r="C109" s="13">
        <v>0</v>
      </c>
      <c r="D109" s="13">
        <v>0</v>
      </c>
      <c r="E109" s="13">
        <v>239.8000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938.0000</v>
      </c>
    </row>
    <row r="110" ht="10.95" customHeight="true" customFormat="true" s="9">
      <c r="A110" s="12" t="s">
        <v>120</v>
      </c>
      <c r="B110" s="13">
        <v>0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10150.0000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</row>
    <row r="111" ht="10.95" customHeight="true" customFormat="true" s="9">
      <c r="A111" s="12" t="s">
        <v>121</v>
      </c>
      <c r="B111" s="13">
        <v>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1400.0000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1600.0000</v>
      </c>
    </row>
    <row r="112" ht="10.95" customHeight="true" customFormat="true" s="9">
      <c r="A112" s="12" t="s">
        <v>122</v>
      </c>
      <c r="B112" s="13">
        <v>1370.0000</v>
      </c>
      <c r="C112" s="13">
        <v>3093.0000</v>
      </c>
      <c r="D112" s="13">
        <v>3063.0000</v>
      </c>
      <c r="E112" s="13">
        <v>3063.0000</v>
      </c>
      <c r="F112" s="13">
        <v>3063.0000</v>
      </c>
      <c r="G112" s="13">
        <v>4714.0700</v>
      </c>
      <c r="H112" s="13">
        <v>2598.0000</v>
      </c>
      <c r="I112" s="13">
        <v>2598.0000</v>
      </c>
      <c r="J112" s="13">
        <v>1167.0700</v>
      </c>
      <c r="K112" s="13">
        <v>2598.0000</v>
      </c>
      <c r="L112" s="13">
        <v>3892.0000</v>
      </c>
      <c r="M112" s="13">
        <v>3892.0000</v>
      </c>
      <c r="N112" s="13">
        <v>3892.0000</v>
      </c>
      <c r="O112" s="13">
        <v>3670.0400</v>
      </c>
      <c r="P112" s="13">
        <v>3670.0400</v>
      </c>
      <c r="Q112" s="13">
        <v>3670.0400</v>
      </c>
    </row>
    <row r="113" ht="10.95" customHeight="true" customFormat="true" s="9">
      <c r="A113" s="12" t="s">
        <v>123</v>
      </c>
      <c r="B113" s="13">
        <v>0</v>
      </c>
      <c r="C113" s="13">
        <v>0</v>
      </c>
      <c r="D113" s="13">
        <v>7404.4500</v>
      </c>
      <c r="E113" s="13">
        <v>3263.5100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168.1100</v>
      </c>
      <c r="N113" s="13">
        <v>354.2900</v>
      </c>
      <c r="O113" s="13">
        <v>0</v>
      </c>
      <c r="P113" s="13">
        <v>-3134.5800</v>
      </c>
      <c r="Q113" s="13">
        <v>0</v>
      </c>
    </row>
    <row r="114" ht="10.95" customHeight="true" customFormat="true" s="9">
      <c r="A114" s="12" t="s">
        <v>124</v>
      </c>
      <c r="B114" s="13">
        <v>0</v>
      </c>
      <c r="C114" s="13">
        <v>0</v>
      </c>
      <c r="D114" s="13">
        <v>-2338.9600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</row>
    <row r="115" ht="10.95" customHeight="true" customFormat="true" s="9">
      <c r="A115" s="12" t="s">
        <v>125</v>
      </c>
      <c r="B115" s="13">
        <v>0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500.0000</v>
      </c>
      <c r="N115" s="13">
        <v>0</v>
      </c>
      <c r="O115" s="13">
        <v>0</v>
      </c>
      <c r="P115" s="13">
        <v>0</v>
      </c>
      <c r="Q115" s="13">
        <v>0</v>
      </c>
    </row>
    <row r="116" ht="10.95" customHeight="true" customFormat="true" s="9">
      <c r="A116" s="12" t="s">
        <v>126</v>
      </c>
      <c r="B116" s="13">
        <v>0</v>
      </c>
      <c r="C116" s="13">
        <v>0</v>
      </c>
      <c r="D116" s="13">
        <v>39517.0000</v>
      </c>
      <c r="E116" s="13">
        <v>220375.0100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</row>
    <row r="117" ht="10.95" customHeight="true" customFormat="true" s="9">
      <c r="A117" s="12" t="s">
        <v>127</v>
      </c>
      <c r="B117" s="13">
        <v>2200.9300</v>
      </c>
      <c r="C117" s="13">
        <v>2200.9300</v>
      </c>
      <c r="D117" s="13">
        <v>2200.9000</v>
      </c>
      <c r="E117" s="13">
        <v>2200.9000</v>
      </c>
      <c r="F117" s="13">
        <v>2200.9000</v>
      </c>
      <c r="G117" s="13">
        <v>2200.9000</v>
      </c>
      <c r="H117" s="13">
        <v>2200.9000</v>
      </c>
      <c r="I117" s="13">
        <v>2200.9000</v>
      </c>
      <c r="J117" s="13">
        <v>2200.9000</v>
      </c>
      <c r="K117" s="13">
        <v>2200.9300</v>
      </c>
      <c r="L117" s="13">
        <v>3096.8300</v>
      </c>
      <c r="M117" s="13">
        <v>3096.8300</v>
      </c>
      <c r="N117" s="13">
        <v>3074.0300</v>
      </c>
      <c r="O117" s="13">
        <v>3599.0300</v>
      </c>
      <c r="P117" s="13">
        <v>3599.0300</v>
      </c>
      <c r="Q117" s="13">
        <v>3074.0300</v>
      </c>
    </row>
    <row r="118" ht="10.95" customHeight="true" customFormat="true" s="9">
      <c r="A118" s="12" t="s">
        <v>128</v>
      </c>
      <c r="B118" s="13">
        <v>42000.0000</v>
      </c>
      <c r="C118" s="13">
        <v>42000.0000</v>
      </c>
      <c r="D118" s="13">
        <v>42000.0000</v>
      </c>
      <c r="E118" s="13">
        <v>42000.0000</v>
      </c>
      <c r="F118" s="13">
        <v>42000.0000</v>
      </c>
      <c r="G118" s="13">
        <v>42000.0000</v>
      </c>
      <c r="H118" s="13">
        <v>42000.0000</v>
      </c>
      <c r="I118" s="13">
        <v>42000.0000</v>
      </c>
      <c r="J118" s="13">
        <v>40000.0000</v>
      </c>
      <c r="K118" s="13">
        <v>40000.0000</v>
      </c>
      <c r="L118" s="13">
        <v>40000.0000</v>
      </c>
      <c r="M118" s="13">
        <v>40000.0000</v>
      </c>
      <c r="N118" s="13">
        <v>40000.0000</v>
      </c>
      <c r="O118" s="13">
        <v>40000.0000</v>
      </c>
      <c r="P118" s="13">
        <v>40000.0000</v>
      </c>
      <c r="Q118" s="13">
        <v>40000.0000</v>
      </c>
    </row>
    <row r="119" ht="10.95" customHeight="true" customFormat="true" s="9">
      <c r="A119" s="12" t="s">
        <v>129</v>
      </c>
      <c r="B119" s="13">
        <v>0</v>
      </c>
      <c r="C119" s="13">
        <v>0</v>
      </c>
      <c r="D119" s="13">
        <v>1190.0000</v>
      </c>
      <c r="E119" s="13">
        <v>4336.4000</v>
      </c>
      <c r="F119" s="13">
        <v>1199.0000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</row>
    <row r="120" ht="10.95" customHeight="true" customFormat="true" s="9">
      <c r="A120" s="12" t="s">
        <v>130</v>
      </c>
      <c r="B120" s="13">
        <v>0</v>
      </c>
      <c r="C120" s="13">
        <v>10000.0000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</row>
    <row r="121" ht="10.95" customHeight="true" customFormat="true" s="9">
      <c r="A121" s="12" t="s">
        <v>131</v>
      </c>
      <c r="B121" s="13">
        <v>0</v>
      </c>
      <c r="C121" s="13">
        <v>4271.2500</v>
      </c>
      <c r="D121" s="13">
        <v>0</v>
      </c>
      <c r="E121" s="13">
        <v>0</v>
      </c>
      <c r="F121" s="13">
        <v>2357.7200</v>
      </c>
      <c r="G121" s="13">
        <v>0</v>
      </c>
      <c r="H121" s="13">
        <v>0</v>
      </c>
      <c r="I121" s="13">
        <v>0</v>
      </c>
      <c r="J121" s="13">
        <v>-2348.1100</v>
      </c>
      <c r="K121" s="13">
        <v>416.0000</v>
      </c>
      <c r="L121" s="13">
        <v>0</v>
      </c>
      <c r="M121" s="13">
        <v>402.5000</v>
      </c>
      <c r="N121" s="13">
        <v>1400.0000</v>
      </c>
      <c r="O121" s="13">
        <v>6427.3500</v>
      </c>
      <c r="P121" s="13">
        <v>0</v>
      </c>
      <c r="Q121" s="13">
        <v>1768.7000</v>
      </c>
    </row>
    <row r="122" ht="10.95" customHeight="true" customFormat="true" s="9">
      <c r="A122" s="12" t="s">
        <v>132</v>
      </c>
      <c r="B122" s="13">
        <v>0</v>
      </c>
      <c r="C122" s="13">
        <v>0</v>
      </c>
      <c r="D122" s="13">
        <v>0</v>
      </c>
      <c r="E122" s="13">
        <v>0</v>
      </c>
      <c r="F122" s="13">
        <v>0</v>
      </c>
      <c r="G122" s="13">
        <v>9253.1700</v>
      </c>
      <c r="H122" s="13">
        <v>0</v>
      </c>
      <c r="I122" s="13">
        <v>0</v>
      </c>
      <c r="J122" s="13">
        <v>16414.7600</v>
      </c>
      <c r="K122" s="13">
        <v>19322.1600</v>
      </c>
      <c r="L122" s="13">
        <v>0</v>
      </c>
      <c r="M122" s="13">
        <v>0</v>
      </c>
      <c r="N122" s="13">
        <v>4151.1900</v>
      </c>
      <c r="O122" s="13">
        <v>3750.0000</v>
      </c>
      <c r="P122" s="13">
        <v>0</v>
      </c>
      <c r="Q122" s="13">
        <v>0</v>
      </c>
    </row>
    <row r="123" ht="10.95" customHeight="true" customFormat="true" s="9">
      <c r="A123" s="12" t="s">
        <v>133</v>
      </c>
      <c r="B123" s="13">
        <v>0</v>
      </c>
      <c r="C123" s="13">
        <v>400.0000</v>
      </c>
      <c r="D123" s="13">
        <v>3100.0000</v>
      </c>
      <c r="E123" s="13">
        <v>0</v>
      </c>
      <c r="F123" s="13">
        <v>0</v>
      </c>
      <c r="G123" s="13">
        <v>8680.0000</v>
      </c>
      <c r="H123" s="13">
        <v>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</row>
    <row r="124" ht="10.95" customHeight="true" customFormat="true" s="9">
      <c r="A124" s="12" t="s">
        <v>134</v>
      </c>
      <c r="B124" s="13">
        <v>0</v>
      </c>
      <c r="C124" s="13">
        <v>4500.0000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2734.0000</v>
      </c>
      <c r="L124" s="13">
        <v>0</v>
      </c>
      <c r="M124" s="13">
        <v>0</v>
      </c>
      <c r="N124" s="13">
        <v>116.0000</v>
      </c>
      <c r="O124" s="13">
        <v>0</v>
      </c>
      <c r="P124" s="13">
        <v>0</v>
      </c>
      <c r="Q124" s="13">
        <v>0</v>
      </c>
    </row>
    <row r="125" ht="10.95" customHeight="true" customFormat="true" s="9">
      <c r="A125" s="12" t="s">
        <v>135</v>
      </c>
      <c r="B125" s="13">
        <v>294.0000</v>
      </c>
      <c r="C125" s="13">
        <v>17648.3600</v>
      </c>
      <c r="D125" s="13">
        <v>10.0000</v>
      </c>
      <c r="E125" s="13">
        <v>297.0000</v>
      </c>
      <c r="F125" s="13">
        <v>111.0000</v>
      </c>
      <c r="G125" s="13">
        <v>857.0000</v>
      </c>
      <c r="H125" s="13">
        <v>680.0000</v>
      </c>
      <c r="I125" s="13">
        <v>31.0000</v>
      </c>
      <c r="J125" s="13">
        <v>28.0000</v>
      </c>
      <c r="K125" s="13">
        <v>40.0000</v>
      </c>
      <c r="L125" s="13">
        <v>264.0000</v>
      </c>
      <c r="M125" s="13">
        <v>133.0000</v>
      </c>
      <c r="N125" s="13">
        <v>280.0000</v>
      </c>
      <c r="O125" s="13">
        <v>80.5000</v>
      </c>
      <c r="P125" s="13">
        <v>0</v>
      </c>
      <c r="Q125" s="13">
        <v>60.0000</v>
      </c>
    </row>
    <row r="126" ht="10.95" customHeight="true" customFormat="true" s="9">
      <c r="A126" s="14" t="s">
        <v>136</v>
      </c>
      <c r="B126" s="15">
        <f ca="1">SUM(B35:B125)</f>
        <v>0</v>
      </c>
      <c r="C126" s="15">
        <f ca="1">SUM(C35:C125)</f>
        <v>0</v>
      </c>
      <c r="D126" s="15">
        <f ca="1">SUM(D35:D125)</f>
        <v>0</v>
      </c>
      <c r="E126" s="15">
        <f ca="1">SUM(E35:E125)</f>
        <v>0</v>
      </c>
      <c r="F126" s="15">
        <f ca="1">SUM(F35:F125)</f>
        <v>0</v>
      </c>
      <c r="G126" s="15">
        <f ca="1">SUM(G35:G125)</f>
        <v>0</v>
      </c>
      <c r="H126" s="15">
        <f ca="1">SUM(H35:H125)</f>
        <v>0</v>
      </c>
      <c r="I126" s="15">
        <f ca="1">SUM(I35:I125)</f>
        <v>0</v>
      </c>
      <c r="J126" s="15">
        <f ca="1">SUM(J35:J125)</f>
        <v>0</v>
      </c>
      <c r="K126" s="15">
        <f ca="1">SUM(K35:K125)</f>
        <v>0</v>
      </c>
      <c r="L126" s="15">
        <f ca="1">SUM(L35:L125)</f>
        <v>0</v>
      </c>
      <c r="M126" s="15">
        <f ca="1">SUM(M35:M125)</f>
        <v>0</v>
      </c>
      <c r="N126" s="15">
        <f ca="1">SUM(N35:N125)</f>
        <v>0</v>
      </c>
      <c r="O126" s="15">
        <f ca="1">SUM(O35:O125)</f>
        <v>0</v>
      </c>
      <c r="P126" s="15">
        <f ca="1">SUM(P35:P125)</f>
        <v>0</v>
      </c>
      <c r="Q126" s="15">
        <f ca="1">SUM(Q35:Q125)</f>
        <v>0</v>
      </c>
    </row>
    <row r="127" ht="13.35" customHeight="true"/>
    <row r="128" ht="10.95" customHeight="true" customFormat="true" s="9">
      <c r="A128" s="16" t="s">
        <v>137</v>
      </c>
      <c r="B128" s="17">
        <f ca="1">((B19 + B32) - B126)</f>
        <v>0</v>
      </c>
      <c r="C128" s="17">
        <f ca="1">((C19 + C32) - C126)</f>
        <v>0</v>
      </c>
      <c r="D128" s="17">
        <f ca="1">((D19 + D32) - D126)</f>
        <v>0</v>
      </c>
      <c r="E128" s="17">
        <f ca="1">((E19 + E32) - E126)</f>
        <v>0</v>
      </c>
      <c r="F128" s="17">
        <f ca="1">((F19 + F32) - F126)</f>
        <v>0</v>
      </c>
      <c r="G128" s="17">
        <f ca="1">((G19 + G32) - G126)</f>
        <v>0</v>
      </c>
      <c r="H128" s="17">
        <f ca="1">((H19 + H32) - H126)</f>
        <v>0</v>
      </c>
      <c r="I128" s="17">
        <f ca="1">((I19 + I32) - I126)</f>
        <v>0</v>
      </c>
      <c r="J128" s="17">
        <f ca="1">((J19 + J32) - J126)</f>
        <v>0</v>
      </c>
      <c r="K128" s="17">
        <f ca="1">((K19 + K32) - K126)</f>
        <v>0</v>
      </c>
      <c r="L128" s="17">
        <f ca="1">((L19 + L32) - L126)</f>
        <v>0</v>
      </c>
      <c r="M128" s="17">
        <f ca="1">((M19 + M32) - M126)</f>
        <v>0</v>
      </c>
      <c r="N128" s="17">
        <f ca="1">((N19 + N32) - N126)</f>
        <v>0</v>
      </c>
      <c r="O128" s="17">
        <f ca="1">((O19 + O32) - O126)</f>
        <v>0</v>
      </c>
      <c r="P128" s="17">
        <f ca="1">((P19 + P32) - P126)</f>
        <v>0</v>
      </c>
      <c r="Q128" s="17">
        <f ca="1">((Q19 + Q32) - Q126)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